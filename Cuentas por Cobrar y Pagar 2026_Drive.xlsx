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t x P" sheetId="1" r:id="rId5"/>
    <sheet state="visible" name="Fracc." sheetId="2" r:id="rId6"/>
    <sheet state="visible" name="Sunat" sheetId="3" r:id="rId7"/>
    <sheet state="hidden" name="Sat" sheetId="4" r:id="rId8"/>
    <sheet state="visible" name="Fijos" sheetId="5" r:id="rId9"/>
    <sheet state="visible" name="Bancos" sheetId="6" r:id="rId10"/>
    <sheet state="visible" name="Predial" sheetId="7" r:id="rId11"/>
    <sheet state="visible" name="Permisos" sheetId="8" r:id="rId12"/>
    <sheet state="visible" name="Cta x C" sheetId="9" r:id="rId13"/>
    <sheet state="hidden" name="RESUMEN SEMANA 4" sheetId="10" r:id="rId14"/>
    <sheet state="hidden" name="CUADRE" sheetId="11" r:id="rId15"/>
  </sheets>
  <definedNames>
    <definedName hidden="1" localSheetId="0" name="_xlnm._FilterDatabase">'Lt x P'!$A$6:$Z$313</definedName>
    <definedName hidden="1" localSheetId="1" name="_xlnm._FilterDatabase">Fracc.!$A$5:$Z$86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22">
      <text>
        <t xml:space="preserve">GASTOS DE PROTESTO SE PAGO EL 21/07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REVISAR EL CHAT DE WHATSAPP:
CAROLINA ALQUILER TIENDA 2 </t>
      </text>
    </comment>
    <comment authorId="0" ref="D18">
      <text>
        <t xml:space="preserve">REVISAR EL CHAT DE WHATSAPP: CAROLINA ALQUILER TIENDA 2
</t>
      </text>
    </comment>
    <comment authorId="0" ref="O11">
      <text>
        <t xml:space="preserve">SE ACORDÓ CON GINA PODER PONERLE STOP A ESTO A CAMBIIO DE PAGAR EL IMP. PREDIAL 2026</t>
      </text>
    </comment>
    <comment authorId="0" ref="P11">
      <text>
        <t xml:space="preserve">SE ACORDÓ CON GINA PODER PONERLE STOP A ESTO A CAMBIIO DE PAGAR EL IMP. PREDIAL 2026</t>
      </text>
    </comment>
    <comment authorId="0" ref="Q11">
      <text>
        <t xml:space="preserve">SE ACORDÓ CON GINA PODER PONERLE STOP A ESTO A CAMBIIO DE PAGAR EL IMP. PREDIAL 2026</t>
      </text>
    </comment>
    <comment authorId="0" ref="R11">
      <text>
        <t xml:space="preserve">SE ACORDÓ CON GINA PODER PONERLE STOP A ESTO A CAMBIIO DE PAGAR EL IMP. PREDIAL 2026</t>
      </text>
    </comment>
    <comment authorId="0" ref="O24">
      <text>
        <t xml:space="preserve">SUSPENDIDO HASTA EL 04/08
NUMERO DE CASO 18039176</t>
      </text>
    </comment>
    <comment authorId="0" ref="S11">
      <text>
        <t xml:space="preserve">SE ACORDÓ CON GINA PODER PONERLE STOP A ESTO A CAMBIIO DE PAGAR EL IMP. PREDIAL 2026</t>
      </text>
    </comment>
    <comment authorId="0" ref="D12">
      <text>
        <t xml:space="preserve">REVISAR WHATSAPP 
VIVITEL PERU 
NRO. +51 916 259 185</t>
      </text>
    </comment>
    <comment authorId="0" ref="T11">
      <text>
        <t xml:space="preserve">SE ACORDÓ CON GINA PODER PONERLE STOP A ESTO A CAMBIIO DE PAGAR EL IMP. PREDIAL 2026</t>
      </text>
    </comment>
    <comment authorId="0" ref="D5">
      <text>
        <t xml:space="preserve">VER EL WHATSAPP: LUZ PROVISIONAL 
ENVIAR VOUCHER 
BCP: 19497929817004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29,403.00 DEBITARON DE ALFARO
SE LE DEVOLVIÓ 28/02 BCP </t>
      </text>
    </comment>
    <comment authorId="0" ref="K3">
      <text>
        <t xml:space="preserve">4000	PIEDRA CASA
-1000	ABONO 1
-1710	CUOTA JUNIO
-290	ABONO 2
------------------------------
1000	A FAVOR CARPI</t>
      </text>
    </comment>
    <comment authorId="0" ref="L3">
      <text>
        <t xml:space="preserve">1000	A FAVOR CARPI
1000	ABONO RUSBEL
-1710	CUOTA JULIO
-----------------------------------	
290	A FAVOR CARPI</t>
      </text>
    </comment>
    <comment authorId="0" ref="M3">
      <text>
        <t xml:space="preserve">290	A FAVOR CARPI
-1710	CUOTA AGOSTO
------------------------------	
-1420	PAGADO CARPI 03/08 BCP</t>
      </text>
    </comment>
    <comment authorId="0" ref="B6">
      <text>
        <t xml:space="preserve">PAGO POR SERVICIOS
MIBANCO
DIGITAR RUC</t>
      </text>
    </comment>
    <comment authorId="0" ref="B4">
      <text>
        <t xml:space="preserve">00902220081087919752 CCI </t>
      </text>
    </comment>
    <comment authorId="0" ref="B3">
      <text>
        <t xml:space="preserve">LA COORDINACION DEL PAGO SE HACE CON ELIZABETH DIRECTAMENTE
VER NUMERO EN EL WHATSAPP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4982.01 PAGADO 11/08
</t>
      </text>
    </comment>
  </commentList>
</comments>
</file>

<file path=xl/sharedStrings.xml><?xml version="1.0" encoding="utf-8"?>
<sst xmlns="http://schemas.openxmlformats.org/spreadsheetml/2006/main" count="2624" uniqueCount="839">
  <si>
    <t>LETRAS POR PAGAR</t>
  </si>
  <si>
    <t xml:space="preserve">LIQUIDACIÓN DE IMPUESTOS </t>
  </si>
  <si>
    <t>FRACCIONAMIENTO SUNAT</t>
  </si>
  <si>
    <t>TRIBUTOS POR PAGAR</t>
  </si>
  <si>
    <t>N° LETRA</t>
  </si>
  <si>
    <t>N° FACTURA ASOCIADA</t>
  </si>
  <si>
    <t>COD.</t>
  </si>
  <si>
    <t>N° UNICO</t>
  </si>
  <si>
    <t>TRIBUTO</t>
  </si>
  <si>
    <t>PROVEEDOR</t>
  </si>
  <si>
    <t>F. EMISION</t>
  </si>
  <si>
    <t>F. VENC</t>
  </si>
  <si>
    <t>F. DE PAGO</t>
  </si>
  <si>
    <t>BANCO</t>
  </si>
  <si>
    <t>PERIODO</t>
  </si>
  <si>
    <t>IMPORTE LETRA</t>
  </si>
  <si>
    <t>IMPORTE</t>
  </si>
  <si>
    <t>MONTO PAGADO</t>
  </si>
  <si>
    <t>TIPO DE INFRACCION</t>
  </si>
  <si>
    <t>FECHA DE PAGO</t>
  </si>
  <si>
    <t>NRO.</t>
  </si>
  <si>
    <t>ESTADO</t>
  </si>
  <si>
    <t>POR PAGAR</t>
  </si>
  <si>
    <t>F. PAGO</t>
  </si>
  <si>
    <t>OBSERVACION</t>
  </si>
  <si>
    <t>NRO. RESOLUCION</t>
  </si>
  <si>
    <t xml:space="preserve"> </t>
  </si>
  <si>
    <t>SOLES</t>
  </si>
  <si>
    <t>230173615146</t>
  </si>
  <si>
    <t>CUOTA</t>
  </si>
  <si>
    <t>E001-696</t>
  </si>
  <si>
    <t>DEPOSITO</t>
  </si>
  <si>
    <t>INVERSIONES JUNA SAC</t>
  </si>
  <si>
    <t>CANCELADO</t>
  </si>
  <si>
    <t>BCP</t>
  </si>
  <si>
    <t>DEBITADO CUENTA BCP</t>
  </si>
  <si>
    <t>PAPELETA</t>
  </si>
  <si>
    <t>AF067762</t>
  </si>
  <si>
    <t>CANCELADO CARPI</t>
  </si>
  <si>
    <t>230173838894</t>
  </si>
  <si>
    <t>AF095340</t>
  </si>
  <si>
    <t>TAVIEXPORT</t>
  </si>
  <si>
    <t>IGV</t>
  </si>
  <si>
    <t>ENERO - 2022</t>
  </si>
  <si>
    <t>F001-315</t>
  </si>
  <si>
    <t>PAGO CON NPS BCP</t>
  </si>
  <si>
    <t>AF194933</t>
  </si>
  <si>
    <t>MARZO - 2022</t>
  </si>
  <si>
    <t>NOVIEMBRE - 2022</t>
  </si>
  <si>
    <t>ITAN</t>
  </si>
  <si>
    <t>SETIEMBRE - 2025</t>
  </si>
  <si>
    <t>DEBITADO DE LA CUENTA BCP</t>
  </si>
  <si>
    <t>F001-335</t>
  </si>
  <si>
    <t>ESSALUD</t>
  </si>
  <si>
    <t>NOVIEMBRE - 2025</t>
  </si>
  <si>
    <t>F001-336</t>
  </si>
  <si>
    <t>CODIGO COMPROMISO: 27818400006123</t>
  </si>
  <si>
    <t>DNI 42173133</t>
  </si>
  <si>
    <t>contabilidad@carpicenter.com.pe</t>
  </si>
  <si>
    <t>AFP</t>
  </si>
  <si>
    <t>722-8882-7</t>
  </si>
  <si>
    <t>DISTRIBUIDORA VENSO</t>
  </si>
  <si>
    <t>RENTA</t>
  </si>
  <si>
    <t>CANCELADO CARPI - PROTESTO</t>
  </si>
  <si>
    <t>RETENCION BOTICAS Y SALUD</t>
  </si>
  <si>
    <t>725-9982-6</t>
  </si>
  <si>
    <t>POLINPLAST SAC</t>
  </si>
  <si>
    <t>PENDIENTE</t>
  </si>
  <si>
    <t>CONTADOR DICE QUE NO - VER WSP 27/02/2026</t>
  </si>
  <si>
    <t>722-8882-6</t>
  </si>
  <si>
    <t>4TA</t>
  </si>
  <si>
    <t>F001-91378</t>
  </si>
  <si>
    <t>725-0762-8</t>
  </si>
  <si>
    <t>PROVEFABRICA DEL PERU S.A.</t>
  </si>
  <si>
    <t>230174568060</t>
  </si>
  <si>
    <t>DICIEMBRE - 2025</t>
  </si>
  <si>
    <t>CA</t>
  </si>
  <si>
    <t>725-9982-7</t>
  </si>
  <si>
    <t>E001-695</t>
  </si>
  <si>
    <t>IA</t>
  </si>
  <si>
    <t>722-8882-3</t>
  </si>
  <si>
    <t>725-9982-8</t>
  </si>
  <si>
    <t>BBVA</t>
  </si>
  <si>
    <t>ENERO - 2026</t>
  </si>
  <si>
    <t>725-9982-9</t>
  </si>
  <si>
    <t>727-5652-4</t>
  </si>
  <si>
    <t>FEBRERO - 2026</t>
  </si>
  <si>
    <t>725-9983-0</t>
  </si>
  <si>
    <t>724-9883-2</t>
  </si>
  <si>
    <t>MARZO - 2026</t>
  </si>
  <si>
    <t>F001-91686</t>
  </si>
  <si>
    <t>725-0762-9</t>
  </si>
  <si>
    <t>ABRIL-2026</t>
  </si>
  <si>
    <t>909 DETRACCIONES DEBITADO DE LA CUENTA BCP</t>
  </si>
  <si>
    <t>MAYO-2026</t>
  </si>
  <si>
    <t>724-9883-3</t>
  </si>
  <si>
    <t>JUNIO-2026</t>
  </si>
  <si>
    <t>725-9983-1</t>
  </si>
  <si>
    <t>FALTA</t>
  </si>
  <si>
    <t>724-9883-4</t>
  </si>
  <si>
    <t>JULIO-2026</t>
  </si>
  <si>
    <t>F001-92271</t>
  </si>
  <si>
    <t>725-9188-4</t>
  </si>
  <si>
    <t>725-9037-7</t>
  </si>
  <si>
    <t>725-9983-2</t>
  </si>
  <si>
    <t>725-9188-2</t>
  </si>
  <si>
    <t>725-9188-3</t>
  </si>
  <si>
    <t>729-7217-5</t>
  </si>
  <si>
    <t>725-9037-8</t>
  </si>
  <si>
    <t>725-9983-3</t>
  </si>
  <si>
    <t>725-9983-4</t>
  </si>
  <si>
    <t>726-5102-0</t>
  </si>
  <si>
    <t>728-3281-6</t>
  </si>
  <si>
    <t>XIMESA SAC</t>
  </si>
  <si>
    <t>F001-92797</t>
  </si>
  <si>
    <t>730-4691-1</t>
  </si>
  <si>
    <t>F500-131533</t>
  </si>
  <si>
    <t>EN CARTERA</t>
  </si>
  <si>
    <t>726-5102-1</t>
  </si>
  <si>
    <t>728-3281-7</t>
  </si>
  <si>
    <t>726-5102-2</t>
  </si>
  <si>
    <t>F001-92911</t>
  </si>
  <si>
    <t>730-4691-2</t>
  </si>
  <si>
    <t>725-9983-5</t>
  </si>
  <si>
    <t>726-5102-3</t>
  </si>
  <si>
    <t>F001-92974</t>
  </si>
  <si>
    <t>730-4691-3</t>
  </si>
  <si>
    <t>F001-93083</t>
  </si>
  <si>
    <t>730-4691-4</t>
  </si>
  <si>
    <t>729-7217-9</t>
  </si>
  <si>
    <t>F001-366588</t>
  </si>
  <si>
    <t>726-5102-4</t>
  </si>
  <si>
    <t>729-7217-6</t>
  </si>
  <si>
    <t>F001-93188</t>
  </si>
  <si>
    <t>730-4691-5</t>
  </si>
  <si>
    <t>F001-93293</t>
  </si>
  <si>
    <t>730-4691-6</t>
  </si>
  <si>
    <t>725-9983-6</t>
  </si>
  <si>
    <t>F500-131336</t>
  </si>
  <si>
    <t>731-1286-8</t>
  </si>
  <si>
    <t>F500-131732</t>
  </si>
  <si>
    <t>731-1287-4</t>
  </si>
  <si>
    <t>F001-63872</t>
  </si>
  <si>
    <t>731-7779-1</t>
  </si>
  <si>
    <t>729-7217-7</t>
  </si>
  <si>
    <t>F001-93360</t>
  </si>
  <si>
    <t>730-4691-7</t>
  </si>
  <si>
    <t>731-7779-0</t>
  </si>
  <si>
    <t>725-9983-7</t>
  </si>
  <si>
    <t>F001-93498</t>
  </si>
  <si>
    <t>730-4691-8</t>
  </si>
  <si>
    <t>729-0487-5</t>
  </si>
  <si>
    <t>729-7217-8</t>
  </si>
  <si>
    <t>729-7218-2</t>
  </si>
  <si>
    <t>729-0487-4</t>
  </si>
  <si>
    <t>F001-93675</t>
  </si>
  <si>
    <t>730-4691-9</t>
  </si>
  <si>
    <t>F001-93679</t>
  </si>
  <si>
    <t>730-4692-0</t>
  </si>
  <si>
    <t>F001-93829</t>
  </si>
  <si>
    <t>730-4692-1</t>
  </si>
  <si>
    <t>731-1286-9</t>
  </si>
  <si>
    <t>729-7218-0</t>
  </si>
  <si>
    <t>F001-93842</t>
  </si>
  <si>
    <t>730-4692-3</t>
  </si>
  <si>
    <t>729-0487-8</t>
  </si>
  <si>
    <t>733-2344-0</t>
  </si>
  <si>
    <t>729-0487-7</t>
  </si>
  <si>
    <t>731-1287-5</t>
  </si>
  <si>
    <t>F001-94017</t>
  </si>
  <si>
    <t>730-4693-8</t>
  </si>
  <si>
    <t>F001-94028</t>
  </si>
  <si>
    <t>730-4692-4</t>
  </si>
  <si>
    <t>F001-94117</t>
  </si>
  <si>
    <t>730-4692-5</t>
  </si>
  <si>
    <t>729-0487-9</t>
  </si>
  <si>
    <t>733-2344-1</t>
  </si>
  <si>
    <t>729-7218-1</t>
  </si>
  <si>
    <t>F500-133058</t>
  </si>
  <si>
    <t>SCOTIA</t>
  </si>
  <si>
    <t>CANCELADO EFECTIVO</t>
  </si>
  <si>
    <t>F001-94186</t>
  </si>
  <si>
    <t>730-4692-6</t>
  </si>
  <si>
    <t>729-0487-6</t>
  </si>
  <si>
    <t>731-1287-0</t>
  </si>
  <si>
    <t>F001-94227</t>
  </si>
  <si>
    <t>730-4692-7</t>
  </si>
  <si>
    <t>733-2344-2</t>
  </si>
  <si>
    <t>731-1287-2</t>
  </si>
  <si>
    <t>F001-94417</t>
  </si>
  <si>
    <t>730-4692-8</t>
  </si>
  <si>
    <t>F500-132374</t>
  </si>
  <si>
    <t>F001-64367</t>
  </si>
  <si>
    <t>731-7779-2</t>
  </si>
  <si>
    <t>F001-64496 - F001-64471</t>
  </si>
  <si>
    <t>730-5173-4</t>
  </si>
  <si>
    <t>F001-94596 F001-94688</t>
  </si>
  <si>
    <t>733-7830-1</t>
  </si>
  <si>
    <t>CORPORACION CERON</t>
  </si>
  <si>
    <t>730-5173-3</t>
  </si>
  <si>
    <t>731-1287-1</t>
  </si>
  <si>
    <t>730-5173-6</t>
  </si>
  <si>
    <t>731-1287-6</t>
  </si>
  <si>
    <t>730-5173-5</t>
  </si>
  <si>
    <t>F001-94760</t>
  </si>
  <si>
    <t>731-9898-1</t>
  </si>
  <si>
    <t>F500-133057</t>
  </si>
  <si>
    <t>731-1287-3</t>
  </si>
  <si>
    <t>F001-94844</t>
  </si>
  <si>
    <t>731-9898-2</t>
  </si>
  <si>
    <t>F001-94893</t>
  </si>
  <si>
    <t>731-9898-3</t>
  </si>
  <si>
    <t>F001-94894</t>
  </si>
  <si>
    <t>731-9898-4</t>
  </si>
  <si>
    <t>F001-64780-64779-64731-64680-64669-64604-64592</t>
  </si>
  <si>
    <t>731-7778-4</t>
  </si>
  <si>
    <t>731-7778-5</t>
  </si>
  <si>
    <t>731-7778-6</t>
  </si>
  <si>
    <t>F001-95019</t>
  </si>
  <si>
    <t>733-1721-6</t>
  </si>
  <si>
    <t>F001-95030</t>
  </si>
  <si>
    <t>733-1721-4</t>
  </si>
  <si>
    <t>731-7778-7</t>
  </si>
  <si>
    <t>731-7778-8</t>
  </si>
  <si>
    <t>731-7778-9</t>
  </si>
  <si>
    <t>F001-95021</t>
  </si>
  <si>
    <t>733-1721-5</t>
  </si>
  <si>
    <t>F002-62801</t>
  </si>
  <si>
    <t>730-8398-7</t>
  </si>
  <si>
    <t>PERUPAINT</t>
  </si>
  <si>
    <t>F001-95181</t>
  </si>
  <si>
    <t>733-1721-3</t>
  </si>
  <si>
    <t>F001-95450</t>
  </si>
  <si>
    <t>733-1721-0</t>
  </si>
  <si>
    <t>F001-95261</t>
  </si>
  <si>
    <t>733-1721-2</t>
  </si>
  <si>
    <t>F001-64939 - 64912</t>
  </si>
  <si>
    <t>735-0499-4</t>
  </si>
  <si>
    <t>F007-9271 - 9272</t>
  </si>
  <si>
    <t>736-4824-5</t>
  </si>
  <si>
    <t>F001-95298</t>
  </si>
  <si>
    <t>733-1721-1</t>
  </si>
  <si>
    <t>F500-133314</t>
  </si>
  <si>
    <t>736-6699-4</t>
  </si>
  <si>
    <t>PAGOS FIJOS MENSUALES 2026</t>
  </si>
  <si>
    <t>F007-9381-9329 F001-375559-375557</t>
  </si>
  <si>
    <t>739-4188-7</t>
  </si>
  <si>
    <t>FECHA</t>
  </si>
  <si>
    <t>SERVICIO</t>
  </si>
  <si>
    <t>DETALLE</t>
  </si>
  <si>
    <t xml:space="preserve">MONTO 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</si>
  <si>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</si>
  <si>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</si>
  <si>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</si>
  <si>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</si>
  <si>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</si>
  <si>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</si>
  <si>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</si>
  <si>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</si>
  <si>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</si>
  <si>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</si>
  <si>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</si>
  <si>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</si>
  <si>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ALQUILER</t>
  </si>
  <si>
    <t>F001-96931</t>
  </si>
  <si>
    <t>734-5224-6</t>
  </si>
  <si>
    <t>19417548677134 CCI 00219400175486771391</t>
  </si>
  <si>
    <t>F001-96946</t>
  </si>
  <si>
    <t>734-5223-9</t>
  </si>
  <si>
    <t>736-6699-5</t>
  </si>
  <si>
    <t>LUZ</t>
  </si>
  <si>
    <t>LUZ ALMACEN 2353993</t>
  </si>
  <si>
    <t>F001-97097</t>
  </si>
  <si>
    <t>734-5224-0</t>
  </si>
  <si>
    <t>F001-97098</t>
  </si>
  <si>
    <t>734-5224-1</t>
  </si>
  <si>
    <t>LUZ TIENDA 1 2303046</t>
  </si>
  <si>
    <t>739-4188-8</t>
  </si>
  <si>
    <t>LUZ TIENDA 2 2160953</t>
  </si>
  <si>
    <t>F001-97119</t>
  </si>
  <si>
    <t>735-5482-2</t>
  </si>
  <si>
    <t>LUZ TIENDA 3 110578</t>
  </si>
  <si>
    <t>739-4188-9</t>
  </si>
  <si>
    <t>LUZ TIENDA 4 1732117</t>
  </si>
  <si>
    <t>F001-6964</t>
  </si>
  <si>
    <t>738-3899-2</t>
  </si>
  <si>
    <t>CORPORACION V&amp;P PERU</t>
  </si>
  <si>
    <t>736-4824-6</t>
  </si>
  <si>
    <t>LUZ PACHAC. LIITIG 1517835</t>
  </si>
  <si>
    <t>F001-97255</t>
  </si>
  <si>
    <t>735-5482-3</t>
  </si>
  <si>
    <t>739-4189-0</t>
  </si>
  <si>
    <t>MVES</t>
  </si>
  <si>
    <t>COMPROMISO  015-2026</t>
  </si>
  <si>
    <t>F001-97714</t>
  </si>
  <si>
    <t>737-1693-8</t>
  </si>
  <si>
    <t>736-6699-6</t>
  </si>
  <si>
    <t>INTERNET</t>
  </si>
  <si>
    <t>INTERNET ALMACEN 1949842376037</t>
  </si>
  <si>
    <t>F001-97907</t>
  </si>
  <si>
    <t>19433095469065</t>
  </si>
  <si>
    <t>739-4189-1</t>
  </si>
  <si>
    <t>LINEA MOVIL</t>
  </si>
  <si>
    <t>4812 - 1 LINEA CLARO - 961849138</t>
  </si>
  <si>
    <t>F001-98036</t>
  </si>
  <si>
    <t>737-1696-0</t>
  </si>
  <si>
    <t>4811 - 4 LINEAS CLARO - 961849110</t>
  </si>
  <si>
    <t>F001-98041</t>
  </si>
  <si>
    <t>737-1696-1</t>
  </si>
  <si>
    <t>3492 - 1 LINEA CLARO - 935464294</t>
  </si>
  <si>
    <t>F500-134084</t>
  </si>
  <si>
    <t>738-8872-1</t>
  </si>
  <si>
    <t>2153 - 13 LINEAS CLARO - 927961032</t>
  </si>
  <si>
    <t>739-4189-2</t>
  </si>
  <si>
    <t>AGUA</t>
  </si>
  <si>
    <t>AGUA TIENDA 2  19122541454044</t>
  </si>
  <si>
    <t>738-3899-3</t>
  </si>
  <si>
    <t>739-4189-3</t>
  </si>
  <si>
    <t>AGUA TIENDA 1 EN TRAMITE</t>
  </si>
  <si>
    <t>F001-98615</t>
  </si>
  <si>
    <t>737-9418-5</t>
  </si>
  <si>
    <t>AGUA TIENDA 3  7527621</t>
  </si>
  <si>
    <t>F001-98533</t>
  </si>
  <si>
    <t>AGUA TIENDA 4 6415423</t>
  </si>
  <si>
    <t>737-1696-2</t>
  </si>
  <si>
    <t>F001-6974</t>
  </si>
  <si>
    <t>738-3899-4</t>
  </si>
  <si>
    <t>AGUA  PACHAC. LIITIG 2828272</t>
  </si>
  <si>
    <t>F001-375444</t>
  </si>
  <si>
    <t>740-0677-5</t>
  </si>
  <si>
    <t>170,60</t>
  </si>
  <si>
    <t>F001-98616</t>
  </si>
  <si>
    <t>737-9421-0</t>
  </si>
  <si>
    <t>SAT</t>
  </si>
  <si>
    <t>COMP. 30118400002593</t>
  </si>
  <si>
    <t>F001-98915</t>
  </si>
  <si>
    <t>737-9420-8</t>
  </si>
  <si>
    <t>INTERNET MOVISTAR TIENDA 3 - 738492738</t>
  </si>
  <si>
    <t>739-4189-4</t>
  </si>
  <si>
    <t>F001-99056</t>
  </si>
  <si>
    <t>740-1578-1</t>
  </si>
  <si>
    <t>F001-6971</t>
  </si>
  <si>
    <t>738-3899-5</t>
  </si>
  <si>
    <t>PAGOS FIJOS PERSONALES 2026</t>
  </si>
  <si>
    <t>F001-98617</t>
  </si>
  <si>
    <t>737-9420-9</t>
  </si>
  <si>
    <t>F001-379824</t>
  </si>
  <si>
    <t>743-4170-8</t>
  </si>
  <si>
    <t>738-8872-2</t>
  </si>
  <si>
    <t>F001-99024</t>
  </si>
  <si>
    <t>740-1577-6</t>
  </si>
  <si>
    <t>F500-133973</t>
  </si>
  <si>
    <t>738-8872-0</t>
  </si>
  <si>
    <t>F001-99040</t>
  </si>
  <si>
    <t>740-1577-7</t>
  </si>
  <si>
    <t>F001-99041</t>
  </si>
  <si>
    <t>740-1577-8</t>
  </si>
  <si>
    <t>LUZ DEL SUR</t>
  </si>
  <si>
    <t>LUZ CASA SR RUSBEL 1682036</t>
  </si>
  <si>
    <t>740-0677-6</t>
  </si>
  <si>
    <t>SEDAPAL</t>
  </si>
  <si>
    <t>AGUA CASA SR RUSBEL 18 2900020</t>
  </si>
  <si>
    <t>F007-9618</t>
  </si>
  <si>
    <t xml:space="preserve">743-4171-2 </t>
  </si>
  <si>
    <t>AGUA CASA SR RUSBEL 18A 6208771</t>
  </si>
  <si>
    <t>F001-380647</t>
  </si>
  <si>
    <t>743-4171-0</t>
  </si>
  <si>
    <t>INTERNET WIN DNI: 42173133</t>
  </si>
  <si>
    <t>F001-99042</t>
  </si>
  <si>
    <t>740-1577-9</t>
  </si>
  <si>
    <t>COLEGIO JP</t>
  </si>
  <si>
    <t xml:space="preserve">SACO OLIVEROS DNI:81015424 </t>
  </si>
  <si>
    <t>F001-6991</t>
  </si>
  <si>
    <t>COLEGIO LUCAS</t>
  </si>
  <si>
    <t>980890227 YAPE MELANI HUARCAYA</t>
  </si>
  <si>
    <t>UNIV CHINO</t>
  </si>
  <si>
    <t>COD: 100233981</t>
  </si>
  <si>
    <t>F001-99055</t>
  </si>
  <si>
    <t>740-1578-0</t>
  </si>
  <si>
    <t>F001-67937-67938-67939</t>
  </si>
  <si>
    <t>743-2194-4</t>
  </si>
  <si>
    <t>F001-99298</t>
  </si>
  <si>
    <t>740-1578-2</t>
  </si>
  <si>
    <t>F500-134840</t>
  </si>
  <si>
    <t>741-2418-2</t>
  </si>
  <si>
    <t>F001-68421</t>
  </si>
  <si>
    <t>F001-99888</t>
  </si>
  <si>
    <t>740-8233-4</t>
  </si>
  <si>
    <t>F001-100538</t>
  </si>
  <si>
    <t>740-8233-7</t>
  </si>
  <si>
    <t>F500-134540</t>
  </si>
  <si>
    <t>741-2418-4</t>
  </si>
  <si>
    <t>F001-378841</t>
  </si>
  <si>
    <t>742-4668-3</t>
  </si>
  <si>
    <t>F001-100084</t>
  </si>
  <si>
    <t>740-8233-5</t>
  </si>
  <si>
    <t>743-2194-5</t>
  </si>
  <si>
    <t>F001-100085</t>
  </si>
  <si>
    <t>740-8233-6</t>
  </si>
  <si>
    <t>743-4171-3</t>
  </si>
  <si>
    <t>F001-68112-68074</t>
  </si>
  <si>
    <t>745-2347-2</t>
  </si>
  <si>
    <t>F001-101265</t>
  </si>
  <si>
    <t>742-4253-1</t>
  </si>
  <si>
    <t>743-2194-6</t>
  </si>
  <si>
    <t>F001-101416</t>
  </si>
  <si>
    <t>742-4253-2</t>
  </si>
  <si>
    <t>743-4170-9</t>
  </si>
  <si>
    <t>F001-101553</t>
  </si>
  <si>
    <t>742-4253-3</t>
  </si>
  <si>
    <t>745-8569-9</t>
  </si>
  <si>
    <t>741-2418-3</t>
  </si>
  <si>
    <t>F001-101560</t>
  </si>
  <si>
    <t>742-4253-4</t>
  </si>
  <si>
    <t>743-2194-7</t>
  </si>
  <si>
    <t>F001-101577</t>
  </si>
  <si>
    <t>742-4253-5</t>
  </si>
  <si>
    <t>F001-102257</t>
  </si>
  <si>
    <t>743-8385-0</t>
  </si>
  <si>
    <t>743-4171-1</t>
  </si>
  <si>
    <t>F001-102264</t>
  </si>
  <si>
    <t>743-8387-3</t>
  </si>
  <si>
    <t>F001-101578</t>
  </si>
  <si>
    <t>742-4253-6</t>
  </si>
  <si>
    <t>F001-102648</t>
  </si>
  <si>
    <t>743-8387-5</t>
  </si>
  <si>
    <t>F001-102718</t>
  </si>
  <si>
    <t>743-8387-6</t>
  </si>
  <si>
    <t>743-4171-4</t>
  </si>
  <si>
    <t>745-2347-3</t>
  </si>
  <si>
    <t>F001-102463</t>
  </si>
  <si>
    <t>743-8387-4</t>
  </si>
  <si>
    <t>743-2194-8</t>
  </si>
  <si>
    <t>F001-101836</t>
  </si>
  <si>
    <t>742-4253-7</t>
  </si>
  <si>
    <t>F001-101837</t>
  </si>
  <si>
    <t>742-4253-8</t>
  </si>
  <si>
    <t>CANCELADO NAOMI</t>
  </si>
  <si>
    <t>F001-68162-68308</t>
  </si>
  <si>
    <t>745-2347-4</t>
  </si>
  <si>
    <t>F001-68519-68796-68884-68857</t>
  </si>
  <si>
    <t>747-5693-7</t>
  </si>
  <si>
    <t>PROTESTO</t>
  </si>
  <si>
    <t>NO MANDARON NUMERO UNICO A TIEMPO</t>
  </si>
  <si>
    <t>F001-103199</t>
  </si>
  <si>
    <t>743-8387-7</t>
  </si>
  <si>
    <t>F001-103201</t>
  </si>
  <si>
    <t>743-8387-8</t>
  </si>
  <si>
    <t>F001-103218</t>
  </si>
  <si>
    <t>743-8387-9</t>
  </si>
  <si>
    <t>745-8570-0</t>
  </si>
  <si>
    <t>743-2194-9</t>
  </si>
  <si>
    <t>CRONOGRAMA DE PAGOS 2026</t>
  </si>
  <si>
    <t>F001-103284</t>
  </si>
  <si>
    <t>743-8388-0</t>
  </si>
  <si>
    <t>F001-69447</t>
  </si>
  <si>
    <t>DEBITOS</t>
  </si>
  <si>
    <t>SALDO</t>
  </si>
  <si>
    <t>F001-103631</t>
  </si>
  <si>
    <t>ENTIDAD</t>
  </si>
  <si>
    <t>744-9209-8</t>
  </si>
  <si>
    <t>NRO. DE CREDITO</t>
  </si>
  <si>
    <t>INICIO</t>
  </si>
  <si>
    <t>745-2347-5</t>
  </si>
  <si>
    <t>FIN</t>
  </si>
  <si>
    <t>F001-68803</t>
  </si>
  <si>
    <t>747-5693-6</t>
  </si>
  <si>
    <t>BBVA MAITA</t>
  </si>
  <si>
    <t>0011-0787-9600134814</t>
  </si>
  <si>
    <t>F001-383209</t>
  </si>
  <si>
    <t>747-3285-5</t>
  </si>
  <si>
    <t>F001-103999</t>
  </si>
  <si>
    <t>746-0822-0</t>
  </si>
  <si>
    <t>F001-104104</t>
  </si>
  <si>
    <t>746-0821-7</t>
  </si>
  <si>
    <t>F001-104142</t>
  </si>
  <si>
    <t>746-0821-6</t>
  </si>
  <si>
    <t>745-8570-1</t>
  </si>
  <si>
    <t>F001-68327</t>
  </si>
  <si>
    <t>745-8570-2</t>
  </si>
  <si>
    <t>0011-0234-9600129309</t>
  </si>
  <si>
    <t>F001-69484-69523-69580</t>
  </si>
  <si>
    <t>FIRMADA</t>
  </si>
  <si>
    <t>MIBANCO</t>
  </si>
  <si>
    <t>F001-104072</t>
  </si>
  <si>
    <t>746-0821-9</t>
  </si>
  <si>
    <t>F001-104090</t>
  </si>
  <si>
    <t>747-8634-0</t>
  </si>
  <si>
    <t>0011-0234-9600129554</t>
  </si>
  <si>
    <t>747-5693-5</t>
  </si>
  <si>
    <t>0011-0787-9600173097</t>
  </si>
  <si>
    <t>F001-104073</t>
  </si>
  <si>
    <t>746-0821-8</t>
  </si>
  <si>
    <t>BBVA PERS.</t>
  </si>
  <si>
    <t>0011-0234-9600116622</t>
  </si>
  <si>
    <t>F001-104107</t>
  </si>
  <si>
    <t>747-8635-8</t>
  </si>
  <si>
    <t>0011-0234-9600108980</t>
  </si>
  <si>
    <t>F001-69664-69671</t>
  </si>
  <si>
    <t>750-4724-9</t>
  </si>
  <si>
    <t>0011-0787-9600173348</t>
  </si>
  <si>
    <t>747-5693-4</t>
  </si>
  <si>
    <t>750-4725-0</t>
  </si>
  <si>
    <t>F001-68951-69327</t>
  </si>
  <si>
    <t>748-7358-1</t>
  </si>
  <si>
    <t>F001-69861-69877-69884</t>
  </si>
  <si>
    <t>F001-69224</t>
  </si>
  <si>
    <t>748-7357-9</t>
  </si>
  <si>
    <t>MIERCOLES</t>
  </si>
  <si>
    <t>F002-66503</t>
  </si>
  <si>
    <t>749-9989-2</t>
  </si>
  <si>
    <t>PERUPAINT SAC</t>
  </si>
  <si>
    <t>F001-69583-69672</t>
  </si>
  <si>
    <t>750-4725-1</t>
  </si>
  <si>
    <t>F001-105723</t>
  </si>
  <si>
    <t>748-8555-2</t>
  </si>
  <si>
    <t>F001-69227</t>
  </si>
  <si>
    <t>748-7358-0</t>
  </si>
  <si>
    <t>F001-105724</t>
  </si>
  <si>
    <t>748-8555-1</t>
  </si>
  <si>
    <t>F001-69946</t>
  </si>
  <si>
    <t>752-3910-5</t>
  </si>
  <si>
    <t>F001-106215</t>
  </si>
  <si>
    <t>748-8555-0</t>
  </si>
  <si>
    <t>F007-390580</t>
  </si>
  <si>
    <t>F001-69707</t>
  </si>
  <si>
    <t>750-4725-2</t>
  </si>
  <si>
    <t>F001-106216</t>
  </si>
  <si>
    <t>748-8555-7</t>
  </si>
  <si>
    <t>F001-106589</t>
  </si>
  <si>
    <t>750-7094-6</t>
  </si>
  <si>
    <t>F001-106613</t>
  </si>
  <si>
    <t>750-7094-7</t>
  </si>
  <si>
    <t>F001-106739</t>
  </si>
  <si>
    <t>750-7094-8</t>
  </si>
  <si>
    <t>/</t>
  </si>
  <si>
    <t>F001-106760</t>
  </si>
  <si>
    <t>751-6402-5</t>
  </si>
  <si>
    <t>F001-69997</t>
  </si>
  <si>
    <t>F007-10118</t>
  </si>
  <si>
    <t>F001-106740</t>
  </si>
  <si>
    <t>750-7094-9</t>
  </si>
  <si>
    <t>F001-70301</t>
  </si>
  <si>
    <t>F001-107288</t>
  </si>
  <si>
    <t>751-6402-4</t>
  </si>
  <si>
    <t>F001-107374</t>
  </si>
  <si>
    <t>751-6402-3</t>
  </si>
  <si>
    <t>F001-107703</t>
  </si>
  <si>
    <t>751-6402-2</t>
  </si>
  <si>
    <t>F001-70035-70233-70262</t>
  </si>
  <si>
    <t>F001-107866</t>
  </si>
  <si>
    <t>753-0559-3</t>
  </si>
  <si>
    <t>F001-70321-70499</t>
  </si>
  <si>
    <t>F001-107867</t>
  </si>
  <si>
    <t>753-0559-4</t>
  </si>
  <si>
    <t>F001-70517</t>
  </si>
  <si>
    <t>F001-107896</t>
  </si>
  <si>
    <t>753-0559-5</t>
  </si>
  <si>
    <t>F001-107897</t>
  </si>
  <si>
    <t>753-0559-6</t>
  </si>
  <si>
    <t>F001-70589-70608</t>
  </si>
  <si>
    <t>F001-107898</t>
  </si>
  <si>
    <t>753-0559-7</t>
  </si>
  <si>
    <t>F001-70614</t>
  </si>
  <si>
    <t>F001-107899</t>
  </si>
  <si>
    <t>753-0559-8</t>
  </si>
  <si>
    <t>F001-107901</t>
  </si>
  <si>
    <t>753-0559-9</t>
  </si>
  <si>
    <t>F001-107902</t>
  </si>
  <si>
    <t>753-0560-0</t>
  </si>
  <si>
    <t>F001-108696</t>
  </si>
  <si>
    <t>753-0560-6</t>
  </si>
  <si>
    <t>F001-107903</t>
  </si>
  <si>
    <t>753-0560-1</t>
  </si>
  <si>
    <t>F001-108127</t>
  </si>
  <si>
    <t>753-0560-2</t>
  </si>
  <si>
    <t>F001-108199</t>
  </si>
  <si>
    <t>753-0560-3</t>
  </si>
  <si>
    <t>F001-108697</t>
  </si>
  <si>
    <t>753-0560-7</t>
  </si>
  <si>
    <t>F001-108219</t>
  </si>
  <si>
    <t>753-0560-4</t>
  </si>
  <si>
    <t>F001-108405</t>
  </si>
  <si>
    <t>753-0560-5</t>
  </si>
  <si>
    <t>F001-108964</t>
  </si>
  <si>
    <t>F001-108963</t>
  </si>
  <si>
    <t>F001-108962</t>
  </si>
  <si>
    <t>F001-69593</t>
  </si>
  <si>
    <t>F500-137184</t>
  </si>
  <si>
    <t>IMPUESTO PREDIAL 2026</t>
  </si>
  <si>
    <t>CODIGO</t>
  </si>
  <si>
    <t>DIRECCION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</si>
  <si>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</si>
  <si>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</si>
  <si>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</si>
  <si>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</si>
  <si>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</si>
  <si>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</si>
  <si>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</si>
  <si>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</si>
  <si>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</si>
  <si>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</si>
  <si>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</si>
  <si>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</si>
  <si>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COOP. LAS VERTIENTES Z1A - 01D</t>
  </si>
  <si>
    <t>AGR. PACHACAMAC 3A SUB PARCELA 2A FRACC 5-6 MZ VIII LOTE 13</t>
  </si>
  <si>
    <t>PRQUE IND PARC II SUB LOTE 6B LT 6 MZ J</t>
  </si>
  <si>
    <t>ARBITRIOS 2026</t>
  </si>
  <si>
    <t>LICENCIA DE FUNCIONAMIENTO</t>
  </si>
  <si>
    <t>SOAT VEHICULAR (939666516)</t>
  </si>
  <si>
    <t>TIENDA</t>
  </si>
  <si>
    <t>F. DE SERVICIO</t>
  </si>
  <si>
    <t>VENC.</t>
  </si>
  <si>
    <t>DIAS</t>
  </si>
  <si>
    <t>RENOVACION</t>
  </si>
  <si>
    <t>MARCA</t>
  </si>
  <si>
    <t>PLACA</t>
  </si>
  <si>
    <t>PARQUE INDUSTRIAL PARC. II MZ.J LOTE 21 VILLA EL SALVADOR</t>
  </si>
  <si>
    <t>T1</t>
  </si>
  <si>
    <t>-</t>
  </si>
  <si>
    <t>KIA</t>
  </si>
  <si>
    <t>BHA854</t>
  </si>
  <si>
    <t>PARQUE INDUSTRIAL PARC. II MZ.J SUBLOTE 6B VILLA EL SALVADOR</t>
  </si>
  <si>
    <t>T2</t>
  </si>
  <si>
    <t>JAC</t>
  </si>
  <si>
    <t>BLX792</t>
  </si>
  <si>
    <t>PARQUE INDUSTRIAL PARC. II MZ.L1 LOTE 33 VILLA EL SALVADOR</t>
  </si>
  <si>
    <t>T3</t>
  </si>
  <si>
    <t>HONDA</t>
  </si>
  <si>
    <t>ABQ432</t>
  </si>
  <si>
    <t>PARQUE INDUSTRIAL PARC. II MZ.H LOTE 1D VILLA EL SALVADOR</t>
  </si>
  <si>
    <t>T4</t>
  </si>
  <si>
    <t>FUMIGACION (979373832)</t>
  </si>
  <si>
    <t>INSPECCION TECNICA VEHICULAR (938684739)</t>
  </si>
  <si>
    <t>PARQUE INDUSTRIAL PARC. II MZ.H LOTE 01D VILLA EL SALVADOR</t>
  </si>
  <si>
    <t>CERTIFICADO DE INSPECCION TECNICA DE SEGURIDAD EN EDIFICACIONES (944849909 WILFREDO)</t>
  </si>
  <si>
    <t>EXTINTORES (979373832)</t>
  </si>
  <si>
    <t>CAMION PEQUEÑO BHA 854 (6KG)</t>
  </si>
  <si>
    <t>CAMION GRANDE BLX 792 (9KG)</t>
  </si>
  <si>
    <t>CUENTAS POR COBRAR</t>
  </si>
  <si>
    <t>REFERENCIA</t>
  </si>
  <si>
    <t>FT / LT</t>
  </si>
  <si>
    <t>CLIENTE</t>
  </si>
  <si>
    <t>MONTO TOTAL</t>
  </si>
  <si>
    <t>E001-2973</t>
  </si>
  <si>
    <t>FIGTUR SA</t>
  </si>
  <si>
    <t>PAGADO</t>
  </si>
  <si>
    <t>138-01-2026</t>
  </si>
  <si>
    <t>E001-2976</t>
  </si>
  <si>
    <t xml:space="preserve"> CISIL SA</t>
  </si>
  <si>
    <t>135-01-2026</t>
  </si>
  <si>
    <t>E001-2943</t>
  </si>
  <si>
    <t>CGM RENTAL SAC</t>
  </si>
  <si>
    <t>E001-2986</t>
  </si>
  <si>
    <t>RESUMEN</t>
  </si>
  <si>
    <t>LETRAS POR PAGAR 4TA SEMANA MARZO ( 22/03/2021 AL 27/03/2021)</t>
  </si>
  <si>
    <t>ADIC 135-01-2026</t>
  </si>
  <si>
    <t>E001-2987</t>
  </si>
  <si>
    <t>N°</t>
  </si>
  <si>
    <t>165-02-2026</t>
  </si>
  <si>
    <t>E001-2982</t>
  </si>
  <si>
    <t>FACTURA</t>
  </si>
  <si>
    <t>IMPORTE FACTURA</t>
  </si>
  <si>
    <t>E001-2953</t>
  </si>
  <si>
    <t>GRUPO GRANDE SAC</t>
  </si>
  <si>
    <t>IMP LETRA A PAGAR</t>
  </si>
  <si>
    <t>E001-2970</t>
  </si>
  <si>
    <t>DOLARES</t>
  </si>
  <si>
    <t>573-2208-9</t>
  </si>
  <si>
    <t>F006-455</t>
  </si>
  <si>
    <t>F006-456</t>
  </si>
  <si>
    <t>573-4902-7</t>
  </si>
  <si>
    <t>PROVEFRABRICA DEL PERU SA</t>
  </si>
  <si>
    <t>149-01-2026</t>
  </si>
  <si>
    <t xml:space="preserve">DISTRIBUIDORA VENSO </t>
  </si>
  <si>
    <t>E001-2971</t>
  </si>
  <si>
    <t>CONTINENTAL</t>
  </si>
  <si>
    <t>573-4902-6</t>
  </si>
  <si>
    <t>GREAT FOODS SAC</t>
  </si>
  <si>
    <t xml:space="preserve">RETIRO DE TIENA FECHA 29/05 16:00 PM AL 01/06 </t>
  </si>
  <si>
    <t>IBK</t>
  </si>
  <si>
    <t>F002-20142</t>
  </si>
  <si>
    <t>TOTAL LETRAS POR VENCER AL 22/03 AL 27/03</t>
  </si>
  <si>
    <t>INGRESO</t>
  </si>
  <si>
    <t>EGRESO</t>
  </si>
  <si>
    <t>TIENDA 01</t>
  </si>
  <si>
    <t>155-02-2026</t>
  </si>
  <si>
    <t>TIENDA 02</t>
  </si>
  <si>
    <t>E001-2972</t>
  </si>
  <si>
    <t>TIENDA 03</t>
  </si>
  <si>
    <t>EFECTIVO SR RUSBEL</t>
  </si>
  <si>
    <t>RENTA ABRIL</t>
  </si>
  <si>
    <t>FACTURAS NEGOCIADAS POR PAGAR - 4RA SEMANA DE MARZO ( 22/03/2021 AL 27/03/2021)</t>
  </si>
  <si>
    <t>ITAN - MAYO</t>
  </si>
  <si>
    <t>ESSSALUD - ABRIL</t>
  </si>
  <si>
    <t>LETRA PERUPAINT</t>
  </si>
  <si>
    <t>E001-2992</t>
  </si>
  <si>
    <t>MOTO - REGRESO</t>
  </si>
  <si>
    <t>TOTAL</t>
  </si>
  <si>
    <t>137-01-2026</t>
  </si>
  <si>
    <t>IMPORTE NEGOCIADO POR PAGAR</t>
  </si>
  <si>
    <t>F006-459</t>
  </si>
  <si>
    <t>360 - BCA</t>
  </si>
  <si>
    <t>F006-462</t>
  </si>
  <si>
    <t>SE ENTREGA SR RUSBEL</t>
  </si>
  <si>
    <t>RETIRO DE TIENDA FECHA 02/06 AL 03/06  17:00 PM</t>
  </si>
  <si>
    <t>170-03-2026</t>
  </si>
  <si>
    <t>MESA PIEDRA SINTERIZADA Y SILLAS
PUERTO MALDONADO</t>
  </si>
  <si>
    <t>COMPRA DE LAMINAS DE MADERA</t>
  </si>
  <si>
    <t>COMPRA DE PARRILLAS</t>
  </si>
  <si>
    <t>COMPRA CORREDERAS DE 24 Y 16</t>
  </si>
  <si>
    <t>CINTA DE EMBALAJE Y NASKINTAPE</t>
  </si>
  <si>
    <t>COMPRA DE DISCO SOLDADOR</t>
  </si>
  <si>
    <t>TOTAL POR PAGAR SEMANA DEL 22/03/21 AL 27/03/21</t>
  </si>
  <si>
    <t>COMPRA DE PINTURA 1/4</t>
  </si>
  <si>
    <t>OBSERVADO</t>
  </si>
  <si>
    <t>COMPRA DE CINTA DE EMBALAJE</t>
  </si>
  <si>
    <t>SILICONA</t>
  </si>
  <si>
    <t>173-03-2026</t>
  </si>
  <si>
    <t>E001-3001</t>
  </si>
  <si>
    <t>DEPOSITO A RICHARD JICAMARCA - AFILADURA DE DISCO</t>
  </si>
  <si>
    <t>SILLON Y BANQUETAS</t>
  </si>
  <si>
    <t>174-03-2026</t>
  </si>
  <si>
    <t>E001-3002</t>
  </si>
  <si>
    <t>MUEBLES DE COCINA</t>
  </si>
  <si>
    <t>MOTO</t>
  </si>
  <si>
    <t>168-03-2026</t>
  </si>
  <si>
    <t>E001-2988</t>
  </si>
  <si>
    <t>MOTO SR GUIDA (IR A CONSTRUCCION)</t>
  </si>
  <si>
    <t xml:space="preserve">INSTITUTO DANIEL ALCIDES CARRION  </t>
  </si>
  <si>
    <t>CHEQUE</t>
  </si>
  <si>
    <t>ENTREGA A CLAUDIA - COMPRA DE TORNILLOS</t>
  </si>
  <si>
    <t>177-03-2026</t>
  </si>
  <si>
    <t>E001-3003</t>
  </si>
  <si>
    <t>ENCIMERA COCINA</t>
  </si>
  <si>
    <t>PAGO DE AGUA - 28 GALONES</t>
  </si>
  <si>
    <t>181-004-2026</t>
  </si>
  <si>
    <t>E001-3013</t>
  </si>
  <si>
    <t>36 SILLA MABEL BLANCO
4 MESAS</t>
  </si>
  <si>
    <t>F006-470</t>
  </si>
  <si>
    <t>GRUPO GRANDE</t>
  </si>
  <si>
    <t>E001-3017</t>
  </si>
  <si>
    <t>E001-3021</t>
  </si>
  <si>
    <t>169-003-2026</t>
  </si>
  <si>
    <t>ENTREGA LESLY - MELAMINE</t>
  </si>
  <si>
    <t>E001-3015</t>
  </si>
  <si>
    <t>S.G. WORKING</t>
  </si>
  <si>
    <t>ENTREGA MAYU - FABRICA</t>
  </si>
  <si>
    <t>ENTREGA SR RUSBEL</t>
  </si>
  <si>
    <t>PAGO AYUDANTE ALAMCEN</t>
  </si>
  <si>
    <t>MOTO SULLY - RUSBEL ENVIO</t>
  </si>
  <si>
    <t xml:space="preserve"> 744-6799-8</t>
  </si>
  <si>
    <t>E001-3035</t>
  </si>
  <si>
    <t>MUEBLES HOUSE M. G. EIRL</t>
  </si>
  <si>
    <t xml:space="preserve">744-6799-9 </t>
  </si>
  <si>
    <t xml:space="preserve">744-6800-0 </t>
  </si>
  <si>
    <t>F006-476</t>
  </si>
  <si>
    <t>F006-477</t>
  </si>
  <si>
    <t>002-006-2026 OC 4700025794</t>
  </si>
  <si>
    <t>SE ENTREGO A CLAUDIA</t>
  </si>
  <si>
    <t>E001-3028</t>
  </si>
  <si>
    <t>KIWAMI AUTOMOTRIZ</t>
  </si>
  <si>
    <t xml:space="preserve">RETIRO DE TIENDA FECHA 05/06  HORA 14:00 PM AL 07/0 6 HORA 17:00 PM </t>
  </si>
  <si>
    <t>E001-3048</t>
  </si>
  <si>
    <t>SR. RUSBEL ENTREGA EFECTIVO</t>
  </si>
  <si>
    <t>002-006-2026 OC 4700025793</t>
  </si>
  <si>
    <t>E001-3029</t>
  </si>
  <si>
    <t>DEPOSITO A CUENTA BBVA DEL SR RUSBEL</t>
  </si>
  <si>
    <t>MOTO IDA Y VUELTA</t>
  </si>
  <si>
    <t>E001-3047</t>
  </si>
  <si>
    <t>204-006-2026</t>
  </si>
  <si>
    <t>E001-3040</t>
  </si>
  <si>
    <t>E001-3050</t>
  </si>
  <si>
    <t>SE ENTREAG SR RUSBEL</t>
  </si>
  <si>
    <t>RETIRO DE TIENDA FECHA 11/06 Y SABADO 12/06 2:00 PM</t>
  </si>
  <si>
    <t>PAGO ANTONIO 292.5 Y JHENY 291.70</t>
  </si>
  <si>
    <t>PAGO KINVERLY S/ 230 Y YAXURY S/ 250</t>
  </si>
  <si>
    <t>PAGO AURELY S/ 100 Y VICKY S/ 200</t>
  </si>
  <si>
    <t>PAGO YEREMI</t>
  </si>
  <si>
    <t>RETIRO SABADO 12/06 2:00 PM A DOMINGO 13/06</t>
  </si>
  <si>
    <t>ENTREGA A PAOLO PARA COMPRA DE TUBOS Y MERC A SEPELSA</t>
  </si>
  <si>
    <t>RETIRO TIENDA LUNES 14/06 AL MIERCOLES 16/06</t>
  </si>
  <si>
    <t>SE ENTREGA A JARVI PARA RECOJO DE MERCADERIA</t>
  </si>
  <si>
    <t>PAGO A PERU METAL PROYECTOS</t>
  </si>
  <si>
    <t>MOTO DE REGRESO DE RECOGER DINERO</t>
  </si>
  <si>
    <t>MOTO PARA IR AL BANCO DEPOSITAR A PERU METAL IDA Y VUELTA</t>
  </si>
  <si>
    <t>COMPRA GRASA</t>
  </si>
  <si>
    <t>RETIRO DE TIENDA JUEVES 17.06 ALSABADO 19.06 2:30 P,</t>
  </si>
  <si>
    <t>PAGO SEMANA A VENDEDORES DE TIENDA</t>
  </si>
  <si>
    <t>TRANSFERENCIA A CUENTA DE CLAUDIA PARA QUE REALICE DEPOSITO</t>
  </si>
  <si>
    <t>RETIRO DE TIENDA SABADO 19/06  2:00 PM A MARTES 22/06 6:00 PM</t>
  </si>
  <si>
    <t>MOTO DE IDA A LAS TIENDAS</t>
  </si>
  <si>
    <t>RENDICION SULLY ( TELAS) - MIERCOLES 23/06</t>
  </si>
  <si>
    <t>COBRANZA CLIENTE KENYO</t>
  </si>
  <si>
    <t>COBRANZA A CTA LETRA PROTESTAADO - CLIENTE BENAVIDES</t>
  </si>
  <si>
    <t>PASAJE A SULLY</t>
  </si>
  <si>
    <t>JARVI</t>
  </si>
  <si>
    <t>CLAUDIA</t>
  </si>
  <si>
    <t xml:space="preserve">a claudia </t>
  </si>
  <si>
    <t>sheden</t>
  </si>
  <si>
    <t>AARON</t>
  </si>
  <si>
    <t>DISCOS</t>
  </si>
  <si>
    <t>pasaje</t>
  </si>
  <si>
    <t>PASAJE SULLY</t>
  </si>
  <si>
    <t>PASAJE RUSBEL</t>
  </si>
  <si>
    <t>ANGEL</t>
  </si>
  <si>
    <t>CAJA DE CAUDIA</t>
  </si>
  <si>
    <t>PASAJE RECOJO DINERO A TIENDA sabado</t>
  </si>
  <si>
    <t>CESAR</t>
  </si>
  <si>
    <t>SULLY construccion</t>
  </si>
  <si>
    <t>HOJAS BOND</t>
  </si>
  <si>
    <t>pasaje angela pasaje para llevar doc para la municipal</t>
  </si>
  <si>
    <t>pasaje tiendas recojo dinero y al banco</t>
  </si>
  <si>
    <t>SE ENTREGO AL SR RUSBEL</t>
  </si>
  <si>
    <t xml:space="preserve">RECOJO TIENDA SABADO 26/06  3:00 PM A MARTES 29/06 5:00 PM </t>
  </si>
  <si>
    <t>MOTO REGRESO</t>
  </si>
  <si>
    <t>RECOJO TIENDA SABADO 03/07 A 14:00 PM A DOMINGO 04/07</t>
  </si>
  <si>
    <t>MOTO ANTONIO RETORNO A TIENDA</t>
  </si>
  <si>
    <t>MOVILIDAD MERCADERIA JAVISAC</t>
  </si>
  <si>
    <t>SE ENTREGA EFECTIVO A JARVI - TAPIZADO ADELANTO</t>
  </si>
  <si>
    <t>RECOJO TIENDA LUNES 05/07 A MARTES 06/07</t>
  </si>
  <si>
    <t xml:space="preserve">REEMBOLSO PASAJE SULLY </t>
  </si>
  <si>
    <t>LISTO</t>
  </si>
  <si>
    <t>CONCEPTO</t>
  </si>
  <si>
    <t>REEMBOLSO ANGELA POR DAR PASAJE A SULLY 02/06</t>
  </si>
  <si>
    <t>ENTREGA EFECTIVO - PAOLO</t>
  </si>
  <si>
    <t>REEMBOLSO A CLAUDIA POR PAGO A PLANILLA</t>
  </si>
  <si>
    <t>REEMBOLSO A PAOLO POR COMPRAS MATERIALES PRODUCCION</t>
  </si>
  <si>
    <t>ENTREGA EFECTIVO JARVI</t>
  </si>
  <si>
    <t xml:space="preserve">TOTAL </t>
  </si>
  <si>
    <t>disponible</t>
  </si>
  <si>
    <t>CAJA BRINDADO DIA 08/07/2021</t>
  </si>
  <si>
    <t xml:space="preserve">DINERO BRINDADO POR SR RUSBEL </t>
  </si>
  <si>
    <t xml:space="preserve">SE BRINDA CAJA A PAOLO </t>
  </si>
  <si>
    <t xml:space="preserve">pendiente rendir </t>
  </si>
  <si>
    <t xml:space="preserve">SE ENTREGA A PAOLO </t>
  </si>
  <si>
    <t>pendiente rendir</t>
  </si>
  <si>
    <t>SR RUSBEL ENTREGA A PAOLO</t>
  </si>
  <si>
    <t>SE ENTREGA AL SR RUSBEL MENU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</si>
</sst>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 * #,##0.00_ ;_ * \-#,##0.00_ ;_ * &quot;-&quot;??_ ;_ @_ "/>
    <numFmt numFmtId="165" formatCode="_-[$S/-280A]\ * #,##0.00_-;\-[$S/-280A]\ * #,##0.00_-;_-[$S/-280A]\ * &quot;-&quot;??_-;_-@"/>
    <numFmt numFmtId="166" formatCode="dd/mm/yyyy"/>
    <numFmt numFmtId="167" formatCode="d/m/yyyy"/>
    <numFmt numFmtId="168" formatCode="d/M/yyyy"/>
    <numFmt numFmtId="169" formatCode="&quot;$&quot;#,##0.00"/>
    <numFmt numFmtId="170" formatCode="#,##0.00;\(#,##0.00\)"/>
    <numFmt numFmtId="171" formatCode="mmmm yyyy"/>
    <numFmt numFmtId="172" formatCode="dd/mm/yy"/>
    <numFmt numFmtId="173" formatCode="[$S/.]#,##0.00"/>
    <numFmt numFmtId="174" formatCode="d/m"/>
    <numFmt numFmtId="175" formatCode="&quot;€&quot;#,##0.00"/>
    <numFmt numFmtId="176" formatCode="_ &quot;€&quot;* #,##0.00_ ;_ &quot;€&quot;* \-#,##0.00_ ;_ &quot;€&quot;* &quot;-&quot;??_ ;_ @_ "/>
    <numFmt numFmtId="177" formatCode="[$$-409]#,##0.00"/>
  </numFmts>
  <fonts count="36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b/>
      <sz val="25.0"/>
      <color theme="1"/>
      <name val="Calibri"/>
    </font>
    <font/>
    <font>
      <b/>
      <sz val="36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sz val="10.0"/>
      <color theme="1"/>
      <name val="Calibri"/>
    </font>
    <font>
      <sz val="10.0"/>
      <color rgb="FF000000"/>
      <name val="Calibri"/>
    </font>
    <font>
      <sz val="11.0"/>
      <color rgb="FF000000"/>
      <name val="Calibri"/>
    </font>
    <font>
      <sz val="10.0"/>
      <color theme="1"/>
      <name val="Calibri"/>
      <scheme val="minor"/>
    </font>
    <font>
      <b/>
      <sz val="10.0"/>
      <color rgb="FFFF0000"/>
      <name val="Calibri"/>
    </font>
    <font>
      <b/>
      <sz val="10.0"/>
      <color rgb="FF9C0006"/>
      <name val="Calibri"/>
    </font>
    <font>
      <sz val="8.0"/>
      <color rgb="FF555555"/>
      <name val="Open_sansregular"/>
    </font>
    <font>
      <b/>
      <sz val="10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0.0"/>
      <color theme="0"/>
      <name val="Calibri"/>
    </font>
    <font>
      <sz val="10.0"/>
      <color rgb="FFFF0000"/>
      <name val="Calibri"/>
    </font>
    <font>
      <b/>
      <sz val="10.0"/>
      <color rgb="FFFFFFFF"/>
      <name val="Calibri"/>
    </font>
    <font>
      <b/>
      <sz val="14.0"/>
      <color theme="1"/>
      <name val="Calibri"/>
    </font>
    <font>
      <b/>
      <sz val="15.0"/>
      <color rgb="FF000000"/>
      <name val="Calibri"/>
    </font>
    <font>
      <b/>
      <sz val="10.0"/>
      <color rgb="FF000000"/>
      <name val="Calibri"/>
    </font>
    <font>
      <sz val="9.0"/>
      <color theme="1"/>
      <name val="Calibri"/>
    </font>
    <font>
      <b/>
      <sz val="15.0"/>
      <color theme="1"/>
      <name val="Calibri"/>
    </font>
    <font>
      <b/>
      <sz val="15.0"/>
      <color rgb="FFFFFFFF"/>
      <name val="Calibri"/>
    </font>
    <font>
      <b/>
      <sz val="12.0"/>
      <color theme="1"/>
      <name val="Calibri"/>
    </font>
    <font>
      <sz val="11.0"/>
      <color rgb="FFFF0000"/>
      <name val="Calibri"/>
    </font>
    <font>
      <sz val="11.0"/>
      <color rgb="FF222222"/>
      <name val="Calibri"/>
    </font>
    <font>
      <sz val="12.0"/>
      <color theme="1"/>
      <name val="Calibri"/>
    </font>
    <font>
      <b/>
      <sz val="9.0"/>
      <color theme="0"/>
      <name val="Calibri"/>
    </font>
    <font>
      <sz val="11.0"/>
      <color rgb="FF337AB7"/>
      <name val="Calibri"/>
    </font>
    <font>
      <sz val="11.0"/>
      <color rgb="FF555555"/>
      <name val="Calibri"/>
    </font>
    <font>
      <sz val="11.0"/>
      <color rgb="FF333333"/>
      <name val="Calibri"/>
    </font>
    <font>
      <sz val="14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BDD6EE"/>
        <bgColor rgb="FFBDD6EE"/>
      </patternFill>
    </fill>
    <fill>
      <patternFill patternType="solid">
        <fgColor rgb="FF00FF00"/>
        <bgColor rgb="FF00FF00"/>
      </patternFill>
    </fill>
    <fill>
      <patternFill patternType="solid">
        <fgColor rgb="FFBDD7EE"/>
        <bgColor rgb="FFBDD7EE"/>
      </patternFill>
    </fill>
    <fill>
      <patternFill patternType="solid">
        <fgColor rgb="FFF108B5"/>
        <bgColor rgb="FFF108B5"/>
      </patternFill>
    </fill>
    <fill>
      <patternFill patternType="solid">
        <fgColor rgb="FFFF00FF"/>
        <bgColor rgb="FFFF00FF"/>
      </patternFill>
    </fill>
    <fill>
      <patternFill patternType="solid">
        <fgColor rgb="FFD8D8D8"/>
        <bgColor rgb="FFD8D8D8"/>
      </patternFill>
    </fill>
    <fill>
      <patternFill patternType="solid">
        <fgColor rgb="FF385623"/>
        <bgColor rgb="FF385623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9F9F9"/>
        <bgColor rgb="FFF9F9F9"/>
      </patternFill>
    </fill>
  </fills>
  <borders count="73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right/>
      <top/>
      <bottom/>
    </border>
    <border>
      <left/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0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shrinkToFit="0" vertical="center" wrapText="1"/>
    </xf>
    <xf borderId="1" fillId="2" fontId="1" numFmtId="0" xfId="0" applyBorder="1" applyFont="1"/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shrinkToFit="0" vertical="center" wrapText="1"/>
    </xf>
    <xf borderId="1" fillId="3" fontId="3" numFmtId="0" xfId="0" applyAlignment="1" applyBorder="1" applyFont="1">
      <alignment horizontal="center" vertical="center"/>
    </xf>
    <xf borderId="4" fillId="0" fontId="4" numFmtId="0" xfId="0" applyBorder="1" applyFont="1"/>
    <xf borderId="0" fillId="0" fontId="1" numFmtId="0" xfId="0" applyAlignment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5" fillId="0" fontId="4" numFmtId="0" xfId="0" applyBorder="1" applyFont="1"/>
    <xf borderId="6" fillId="2" fontId="1" numFmtId="0" xfId="0" applyBorder="1" applyFont="1"/>
    <xf borderId="7" fillId="0" fontId="4" numFmtId="0" xfId="0" applyBorder="1" applyFont="1"/>
    <xf borderId="8" fillId="2" fontId="1" numFmtId="0" xfId="0" applyBorder="1" applyFont="1"/>
    <xf borderId="9" fillId="0" fontId="4" numFmtId="0" xfId="0" applyBorder="1" applyFont="1"/>
    <xf borderId="0" fillId="0" fontId="1" numFmtId="164" xfId="0" applyFont="1" applyNumberFormat="1"/>
    <xf borderId="10" fillId="0" fontId="4" numFmtId="0" xfId="0" applyBorder="1" applyFont="1"/>
    <xf borderId="0" fillId="0" fontId="1" numFmtId="14" xfId="0" applyFont="1" applyNumberFormat="1"/>
    <xf borderId="11" fillId="4" fontId="6" numFmtId="0" xfId="0" applyAlignment="1" applyBorder="1" applyFill="1" applyFont="1">
      <alignment horizontal="center" vertical="center"/>
    </xf>
    <xf borderId="12" fillId="5" fontId="7" numFmtId="0" xfId="0" applyAlignment="1" applyBorder="1" applyFill="1" applyFont="1">
      <alignment horizontal="center" shrinkToFit="0" vertical="center" wrapText="1"/>
    </xf>
    <xf borderId="13" fillId="5" fontId="7" numFmtId="0" xfId="0" applyAlignment="1" applyBorder="1" applyFont="1">
      <alignment horizontal="center" shrinkToFit="0" vertical="center" wrapText="1"/>
    </xf>
    <xf borderId="14" fillId="5" fontId="6" numFmtId="0" xfId="0" applyAlignment="1" applyBorder="1" applyFont="1">
      <alignment horizontal="center" shrinkToFit="0" vertical="center" wrapText="1"/>
    </xf>
    <xf borderId="15" fillId="5" fontId="7" numFmtId="0" xfId="0" applyAlignment="1" applyBorder="1" applyFont="1">
      <alignment horizontal="center" shrinkToFit="0" vertical="center" wrapText="1"/>
    </xf>
    <xf borderId="15" fillId="5" fontId="7" numFmtId="0" xfId="0" applyAlignment="1" applyBorder="1" applyFont="1">
      <alignment horizontal="center" readingOrder="0" vertical="center"/>
    </xf>
    <xf borderId="14" fillId="5" fontId="7" numFmtId="165" xfId="0" applyAlignment="1" applyBorder="1" applyFont="1" applyNumberForma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4" fillId="5" fontId="6" numFmtId="0" xfId="0" applyAlignment="1" applyBorder="1" applyFont="1">
      <alignment horizontal="center" vertical="center"/>
    </xf>
    <xf borderId="16" fillId="5" fontId="6" numFmtId="165" xfId="0" applyAlignment="1" applyBorder="1" applyFont="1" applyNumberFormat="1">
      <alignment horizontal="center" shrinkToFit="0" vertical="center" wrapText="1"/>
    </xf>
    <xf borderId="15" fillId="5" fontId="6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horizontal="center" vertical="center"/>
    </xf>
    <xf borderId="16" fillId="5" fontId="6" numFmtId="165" xfId="0" applyAlignment="1" applyBorder="1" applyFont="1" applyNumberFormat="1">
      <alignment horizontal="center" vertical="center"/>
    </xf>
    <xf borderId="17" fillId="5" fontId="6" numFmtId="0" xfId="0" applyAlignment="1" applyBorder="1" applyFont="1">
      <alignment horizontal="center" shrinkToFit="0" vertical="center" wrapText="1"/>
    </xf>
    <xf borderId="18" fillId="5" fontId="7" numFmtId="0" xfId="0" applyAlignment="1" applyBorder="1" applyFont="1">
      <alignment horizontal="center" shrinkToFit="0" vertical="center" wrapText="1"/>
    </xf>
    <xf borderId="15" fillId="5" fontId="6" numFmtId="0" xfId="0" applyAlignment="1" applyBorder="1" applyFont="1">
      <alignment horizontal="center" vertical="center"/>
    </xf>
    <xf borderId="19" fillId="5" fontId="7" numFmtId="0" xfId="0" applyAlignment="1" applyBorder="1" applyFont="1">
      <alignment horizontal="center" vertical="center"/>
    </xf>
    <xf borderId="20" fillId="4" fontId="6" numFmtId="0" xfId="0" applyAlignment="1" applyBorder="1" applyFont="1">
      <alignment horizontal="center" vertical="center"/>
    </xf>
    <xf borderId="17" fillId="5" fontId="6" numFmtId="0" xfId="0" applyAlignment="1" applyBorder="1" applyFont="1">
      <alignment horizontal="center" vertical="center"/>
    </xf>
    <xf borderId="21" fillId="5" fontId="6" numFmtId="0" xfId="0" applyAlignment="1" applyBorder="1" applyFont="1">
      <alignment horizontal="center" shrinkToFit="0" vertical="center" wrapText="1"/>
    </xf>
    <xf borderId="15" fillId="5" fontId="7" numFmtId="0" xfId="0" applyAlignment="1" applyBorder="1" applyFont="1">
      <alignment horizontal="center" vertical="center"/>
    </xf>
    <xf borderId="22" fillId="5" fontId="6" numFmtId="0" xfId="0" applyAlignment="1" applyBorder="1" applyFont="1">
      <alignment horizontal="center" shrinkToFit="0" vertical="center" wrapText="1"/>
    </xf>
    <xf borderId="23" fillId="5" fontId="6" numFmtId="0" xfId="0" applyAlignment="1" applyBorder="1" applyFont="1">
      <alignment horizontal="center" vertical="center"/>
    </xf>
    <xf borderId="22" fillId="5" fontId="7" numFmtId="0" xfId="0" applyAlignment="1" applyBorder="1" applyFont="1">
      <alignment horizontal="center" readingOrder="0" shrinkToFit="0" vertical="center" wrapText="1"/>
    </xf>
    <xf borderId="22" fillId="5" fontId="6" numFmtId="0" xfId="0" applyAlignment="1" applyBorder="1" applyFont="1">
      <alignment horizontal="center" vertical="center"/>
    </xf>
    <xf borderId="24" fillId="5" fontId="6" numFmtId="165" xfId="0" applyAlignment="1" applyBorder="1" applyFont="1" applyNumberFormat="1">
      <alignment horizontal="center" vertical="center"/>
    </xf>
    <xf borderId="16" fillId="5" fontId="7" numFmtId="0" xfId="0" applyAlignment="1" applyBorder="1" applyFont="1">
      <alignment horizontal="center" vertical="center"/>
    </xf>
    <xf borderId="25" fillId="5" fontId="6" numFmtId="0" xfId="0" applyAlignment="1" applyBorder="1" applyFont="1">
      <alignment horizontal="center" vertical="center"/>
    </xf>
    <xf borderId="22" fillId="5" fontId="7" numFmtId="0" xfId="0" applyAlignment="1" applyBorder="1" applyFont="1">
      <alignment horizontal="center" shrinkToFit="0" vertical="center" wrapText="1"/>
    </xf>
    <xf borderId="0" fillId="0" fontId="1" numFmtId="0" xfId="0" applyFont="1"/>
    <xf borderId="26" fillId="2" fontId="8" numFmtId="166" xfId="0" applyAlignment="1" applyBorder="1" applyFont="1" applyNumberFormat="1">
      <alignment horizontal="center" readingOrder="0" vertical="center"/>
    </xf>
    <xf borderId="27" fillId="5" fontId="6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vertical="center"/>
    </xf>
    <xf borderId="28" fillId="5" fontId="6" numFmtId="0" xfId="0" applyAlignment="1" applyBorder="1" applyFont="1">
      <alignment horizontal="center" shrinkToFit="0" vertical="center" wrapText="1"/>
    </xf>
    <xf borderId="22" fillId="0" fontId="8" numFmtId="49" xfId="0" applyAlignment="1" applyBorder="1" applyFont="1" applyNumberFormat="1">
      <alignment horizontal="center" vertical="center"/>
    </xf>
    <xf borderId="29" fillId="6" fontId="9" numFmtId="0" xfId="0" applyAlignment="1" applyBorder="1" applyFill="1" applyFont="1">
      <alignment horizontal="center" readingOrder="0" shrinkToFit="0" vertical="center" wrapText="1"/>
    </xf>
    <xf borderId="22" fillId="7" fontId="8" numFmtId="165" xfId="0" applyAlignment="1" applyBorder="1" applyFill="1" applyFont="1" applyNumberFormat="1">
      <alignment horizontal="center" vertical="center"/>
    </xf>
    <xf borderId="30" fillId="6" fontId="9" numFmtId="0" xfId="0" applyAlignment="1" applyBorder="1" applyFont="1">
      <alignment horizontal="center" readingOrder="0" shrinkToFit="0" vertical="center" wrapText="1"/>
    </xf>
    <xf borderId="30" fillId="6" fontId="10" numFmtId="0" xfId="0" applyAlignment="1" applyBorder="1" applyFont="1">
      <alignment horizontal="center" shrinkToFit="0" vertical="center" wrapText="1"/>
    </xf>
    <xf borderId="22" fillId="6" fontId="9" numFmtId="0" xfId="0" applyAlignment="1" applyBorder="1" applyFont="1">
      <alignment horizontal="center" readingOrder="0" shrinkToFit="0" vertical="center" wrapText="1"/>
    </xf>
    <xf borderId="21" fillId="0" fontId="8" numFmtId="166" xfId="0" applyAlignment="1" applyBorder="1" applyFont="1" applyNumberFormat="1">
      <alignment horizontal="center" vertical="center"/>
    </xf>
    <xf borderId="30" fillId="6" fontId="9" numFmtId="167" xfId="0" applyAlignment="1" applyBorder="1" applyFont="1" applyNumberFormat="1">
      <alignment horizontal="center" readingOrder="0" shrinkToFit="0" vertical="center" wrapText="1"/>
    </xf>
    <xf borderId="22" fillId="0" fontId="8" numFmtId="0" xfId="0" applyAlignment="1" applyBorder="1" applyFont="1">
      <alignment horizontal="center" readingOrder="0" vertical="center"/>
    </xf>
    <xf borderId="20" fillId="0" fontId="8" numFmtId="167" xfId="0" applyAlignment="1" applyBorder="1" applyFont="1" applyNumberFormat="1">
      <alignment horizontal="center" readingOrder="0" vertical="center"/>
    </xf>
    <xf borderId="22" fillId="6" fontId="9" numFmtId="165" xfId="0" applyAlignment="1" applyBorder="1" applyFont="1" applyNumberFormat="1">
      <alignment horizontal="center" readingOrder="0" shrinkToFit="0" vertical="center" wrapText="1"/>
    </xf>
    <xf borderId="28" fillId="0" fontId="8" numFmtId="0" xfId="0" applyAlignment="1" applyBorder="1" applyFont="1">
      <alignment horizontal="center" readingOrder="0" vertical="center"/>
    </xf>
    <xf borderId="31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shrinkToFit="0" vertical="center" wrapText="1"/>
    </xf>
    <xf borderId="30" fillId="6" fontId="8" numFmtId="4" xfId="0" applyAlignment="1" applyBorder="1" applyFont="1" applyNumberFormat="1">
      <alignment horizontal="center" readingOrder="0" shrinkToFit="0" vertical="center" wrapText="1"/>
    </xf>
    <xf borderId="0" fillId="0" fontId="8" numFmtId="0" xfId="0" applyFont="1"/>
    <xf borderId="22" fillId="7" fontId="8" numFmtId="165" xfId="0" applyAlignment="1" applyBorder="1" applyFont="1" applyNumberFormat="1">
      <alignment horizontal="center" readingOrder="0" vertical="center"/>
    </xf>
    <xf borderId="30" fillId="6" fontId="9" numFmtId="4" xfId="0" applyAlignment="1" applyBorder="1" applyFont="1" applyNumberFormat="1">
      <alignment horizontal="center" readingOrder="0" shrinkToFit="0" vertical="center" wrapText="1"/>
    </xf>
    <xf borderId="23" fillId="5" fontId="7" numFmtId="0" xfId="0" applyAlignment="1" applyBorder="1" applyFont="1">
      <alignment horizontal="center" shrinkToFit="0" vertical="center" wrapText="1"/>
    </xf>
    <xf borderId="21" fillId="0" fontId="8" numFmtId="167" xfId="0" applyAlignment="1" applyBorder="1" applyFont="1" applyNumberFormat="1">
      <alignment horizontal="center" readingOrder="0" vertical="center"/>
    </xf>
    <xf borderId="0" fillId="0" fontId="11" numFmtId="0" xfId="0" applyFont="1"/>
    <xf borderId="30" fillId="6" fontId="9" numFmtId="166" xfId="0" applyAlignment="1" applyBorder="1" applyFont="1" applyNumberFormat="1">
      <alignment horizontal="center" readingOrder="0" shrinkToFit="0" vertical="center" wrapText="1"/>
    </xf>
    <xf borderId="24" fillId="5" fontId="7" numFmtId="0" xfId="0" applyAlignment="1" applyBorder="1" applyFont="1">
      <alignment horizontal="center" shrinkToFit="0" vertical="center" wrapText="1"/>
    </xf>
    <xf borderId="32" fillId="6" fontId="8" numFmtId="0" xfId="0" applyAlignment="1" applyBorder="1" applyFont="1">
      <alignment horizontal="center" readingOrder="0" shrinkToFit="0" vertical="center" wrapText="1"/>
    </xf>
    <xf borderId="33" fillId="0" fontId="8" numFmtId="0" xfId="0" applyAlignment="1" applyBorder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2" fontId="9" numFmtId="0" xfId="0" applyAlignment="1" applyFont="1">
      <alignment vertical="center"/>
    </xf>
    <xf borderId="24" fillId="5" fontId="6" numFmtId="165" xfId="0" applyAlignment="1" applyBorder="1" applyFont="1" applyNumberFormat="1">
      <alignment horizontal="center" shrinkToFit="0" vertical="center" wrapText="1"/>
    </xf>
    <xf borderId="0" fillId="2" fontId="9" numFmtId="0" xfId="0" applyFont="1"/>
    <xf borderId="23" fillId="5" fontId="6" numFmtId="0" xfId="0" applyAlignment="1" applyBorder="1" applyFont="1">
      <alignment horizontal="center" shrinkToFit="0" vertical="center" wrapText="1"/>
    </xf>
    <xf borderId="25" fillId="5" fontId="6" numFmtId="0" xfId="0" applyAlignment="1" applyBorder="1" applyFont="1">
      <alignment horizontal="center" shrinkToFit="0" vertical="center" wrapText="1"/>
    </xf>
    <xf borderId="29" fillId="6" fontId="8" numFmtId="0" xfId="0" applyAlignment="1" applyBorder="1" applyFont="1">
      <alignment horizontal="center" shrinkToFit="0" vertical="center" wrapText="1"/>
    </xf>
    <xf borderId="21" fillId="2" fontId="8" numFmtId="166" xfId="0" applyAlignment="1" applyBorder="1" applyFont="1" applyNumberFormat="1">
      <alignment horizontal="center" vertical="center"/>
    </xf>
    <xf borderId="30" fillId="6" fontId="8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vertical="center"/>
    </xf>
    <xf borderId="30" fillId="6" fontId="1" numFmtId="0" xfId="0" applyAlignment="1" applyBorder="1" applyFont="1">
      <alignment horizontal="center" shrinkToFit="0" vertical="center" wrapText="1"/>
    </xf>
    <xf borderId="26" fillId="0" fontId="8" numFmtId="0" xfId="0" applyAlignment="1" applyBorder="1" applyFont="1">
      <alignment horizontal="center" readingOrder="0" shrinkToFit="0" vertical="center" wrapText="1"/>
    </xf>
    <xf borderId="30" fillId="6" fontId="8" numFmtId="167" xfId="0" applyAlignment="1" applyBorder="1" applyFont="1" applyNumberFormat="1">
      <alignment horizontal="center" readingOrder="0" shrinkToFit="0" vertical="center" wrapText="1"/>
    </xf>
    <xf borderId="21" fillId="0" fontId="8" numFmtId="167" xfId="0" applyAlignment="1" applyBorder="1" applyFont="1" applyNumberFormat="1">
      <alignment horizontal="center" vertical="center"/>
    </xf>
    <xf borderId="31" fillId="0" fontId="8" numFmtId="0" xfId="0" applyAlignment="1" applyBorder="1" applyFont="1">
      <alignment horizontal="center" readingOrder="0" shrinkToFit="0" vertical="center" wrapText="1"/>
    </xf>
    <xf borderId="30" fillId="6" fontId="8" numFmtId="165" xfId="0" applyAlignment="1" applyBorder="1" applyFont="1" applyNumberFormat="1">
      <alignment horizontal="center" readingOrder="0" shrinkToFit="0" vertical="center" wrapText="1"/>
    </xf>
    <xf borderId="28" fillId="0" fontId="8" numFmtId="0" xfId="0" applyAlignment="1" applyBorder="1" applyFont="1">
      <alignment horizontal="center" vertical="center"/>
    </xf>
    <xf borderId="34" fillId="0" fontId="8" numFmtId="49" xfId="0" applyAlignment="1" applyBorder="1" applyFont="1" applyNumberFormat="1">
      <alignment horizontal="center" readingOrder="0" shrinkToFit="0" vertical="center" wrapText="1"/>
    </xf>
    <xf borderId="30" fillId="6" fontId="8" numFmtId="166" xfId="0" applyAlignment="1" applyBorder="1" applyFont="1" applyNumberFormat="1">
      <alignment horizontal="center" readingOrder="0" shrinkToFit="0" vertical="center" wrapText="1"/>
    </xf>
    <xf borderId="32" fillId="6" fontId="9" numFmtId="0" xfId="0" applyAlignment="1" applyBorder="1" applyFont="1">
      <alignment horizontal="center" readingOrder="0" shrinkToFit="0" vertical="center" wrapText="1"/>
    </xf>
    <xf borderId="34" fillId="7" fontId="12" numFmtId="165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22" fillId="5" fontId="13" numFmtId="0" xfId="0" applyAlignment="1" applyBorder="1" applyFont="1">
      <alignment horizontal="center" readingOrder="0" shrinkToFit="0" vertical="center" wrapText="1"/>
    </xf>
    <xf borderId="34" fillId="0" fontId="8" numFmtId="168" xfId="0" applyAlignment="1" applyBorder="1" applyFont="1" applyNumberFormat="1">
      <alignment horizontal="center" readingOrder="0" shrinkToFit="0" vertical="center" wrapText="1"/>
    </xf>
    <xf borderId="22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31" fillId="0" fontId="8" numFmtId="168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22" fillId="0" fontId="8" numFmtId="49" xfId="0" applyAlignment="1" applyBorder="1" applyFont="1" applyNumberFormat="1">
      <alignment horizontal="center" readingOrder="0" shrinkToFit="0" vertical="center" wrapText="1"/>
    </xf>
    <xf borderId="22" fillId="7" fontId="12" numFmtId="165" xfId="0" applyAlignment="1" applyBorder="1" applyFont="1" applyNumberFormat="1">
      <alignment horizontal="center" readingOrder="0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9" fillId="6" fontId="8" numFmtId="0" xfId="0" applyAlignment="1" applyBorder="1" applyFont="1">
      <alignment horizontal="center" readingOrder="0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30" fillId="6" fontId="8" numFmtId="4" xfId="0" applyAlignment="1" applyBorder="1" applyFont="1" applyNumberFormat="1">
      <alignment horizontal="center" shrinkToFit="0" vertical="center" wrapText="1"/>
    </xf>
    <xf borderId="21" fillId="0" fontId="8" numFmtId="0" xfId="0" applyAlignment="1" applyBorder="1" applyFont="1">
      <alignment horizontal="center" vertical="center"/>
    </xf>
    <xf borderId="0" fillId="2" fontId="14" numFmtId="0" xfId="0" applyAlignment="1" applyFont="1">
      <alignment readingOrder="0"/>
    </xf>
    <xf borderId="30" fillId="6" fontId="8" numFmtId="167" xfId="0" applyAlignment="1" applyBorder="1" applyFont="1" applyNumberFormat="1">
      <alignment horizontal="center" shrinkToFit="0" vertical="center" wrapText="1"/>
    </xf>
    <xf borderId="22" fillId="7" fontId="12" numFmtId="165" xfId="0" applyAlignment="1" applyBorder="1" applyFont="1" applyNumberFormat="1">
      <alignment horizontal="center" shrinkToFit="0" vertical="center" wrapText="1"/>
    </xf>
    <xf borderId="35" fillId="0" fontId="8" numFmtId="0" xfId="0" applyAlignment="1" applyBorder="1" applyFont="1">
      <alignment horizontal="center" vertical="center"/>
    </xf>
    <xf borderId="36" fillId="0" fontId="8" numFmtId="0" xfId="0" applyAlignment="1" applyBorder="1" applyFont="1">
      <alignment horizontal="center" vertical="center"/>
    </xf>
    <xf borderId="36" fillId="7" fontId="8" numFmtId="165" xfId="0" applyAlignment="1" applyBorder="1" applyFont="1" applyNumberFormat="1">
      <alignment horizontal="center" vertical="center"/>
    </xf>
    <xf borderId="37" fillId="0" fontId="8" numFmtId="0" xfId="0" applyAlignment="1" applyBorder="1" applyFont="1">
      <alignment horizontal="center" vertical="center"/>
    </xf>
    <xf borderId="6" fillId="7" fontId="8" numFmtId="165" xfId="0" applyAlignment="1" applyBorder="1" applyFont="1" applyNumberFormat="1">
      <alignment horizontal="center" vertical="center"/>
    </xf>
    <xf borderId="22" fillId="0" fontId="8" numFmtId="49" xfId="0" applyAlignment="1" applyBorder="1" applyFont="1" applyNumberFormat="1">
      <alignment horizontal="center" readingOrder="0" vertical="center"/>
    </xf>
    <xf borderId="21" fillId="6" fontId="8" numFmtId="166" xfId="0" applyAlignment="1" applyBorder="1" applyFont="1" applyNumberFormat="1">
      <alignment horizontal="center" readingOrder="0" vertical="center"/>
    </xf>
    <xf borderId="20" fillId="0" fontId="8" numFmtId="167" xfId="0" applyAlignment="1" applyBorder="1" applyFont="1" applyNumberFormat="1">
      <alignment horizontal="center" vertical="center"/>
    </xf>
    <xf borderId="22" fillId="0" fontId="8" numFmtId="168" xfId="0" applyAlignment="1" applyBorder="1" applyFont="1" applyNumberFormat="1">
      <alignment horizontal="center" shrinkToFit="0" vertical="center" wrapText="1"/>
    </xf>
    <xf borderId="22" fillId="0" fontId="15" numFmtId="0" xfId="0" applyAlignment="1" applyBorder="1" applyFont="1">
      <alignment horizontal="center" readingOrder="0" shrinkToFit="0" vertical="center" wrapText="1"/>
    </xf>
    <xf borderId="22" fillId="0" fontId="8" numFmtId="168" xfId="0" applyAlignment="1" applyBorder="1" applyFont="1" applyNumberFormat="1">
      <alignment horizontal="center" readingOrder="0" shrinkToFit="0" vertical="center" wrapText="1"/>
    </xf>
    <xf borderId="21" fillId="0" fontId="8" numFmtId="166" xfId="0" applyAlignment="1" applyBorder="1" applyFont="1" applyNumberFormat="1">
      <alignment horizontal="center" readingOrder="0" vertical="center"/>
    </xf>
    <xf borderId="6" fillId="7" fontId="1" numFmtId="165" xfId="0" applyAlignment="1" applyBorder="1" applyFont="1" applyNumberFormat="1">
      <alignment horizontal="center" vertical="center"/>
    </xf>
    <xf borderId="29" fillId="0" fontId="8" numFmtId="0" xfId="0" applyAlignment="1" applyBorder="1" applyFont="1">
      <alignment horizontal="center" readingOrder="0" shrinkToFit="0" vertical="center" wrapText="1"/>
    </xf>
    <xf borderId="30" fillId="0" fontId="8" numFmtId="0" xfId="0" applyAlignment="1" applyBorder="1" applyFont="1">
      <alignment horizontal="center" readingOrder="0"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readingOrder="0" shrinkToFit="0" vertical="center" wrapText="1"/>
    </xf>
    <xf borderId="30" fillId="0" fontId="8" numFmtId="167" xfId="0" applyAlignment="1" applyBorder="1" applyFont="1" applyNumberFormat="1">
      <alignment horizontal="center" shrinkToFit="0" vertical="center" wrapText="1"/>
    </xf>
    <xf borderId="30" fillId="0" fontId="8" numFmtId="167" xfId="0" applyAlignment="1" applyBorder="1" applyFont="1" applyNumberFormat="1">
      <alignment horizontal="center" readingOrder="0" shrinkToFit="0" vertical="center" wrapText="1"/>
    </xf>
    <xf borderId="30" fillId="7" fontId="8" numFmtId="165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6" fillId="7" fontId="1" numFmtId="165" xfId="0" applyAlignment="1" applyBorder="1" applyFont="1" applyNumberFormat="1">
      <alignment horizontal="center"/>
    </xf>
    <xf borderId="30" fillId="7" fontId="8" numFmtId="4" xfId="0" applyAlignment="1" applyBorder="1" applyFont="1" applyNumberFormat="1">
      <alignment horizontal="center" readingOrder="0" shrinkToFit="0" vertical="center" wrapText="1"/>
    </xf>
    <xf borderId="30" fillId="0" fontId="8" numFmtId="4" xfId="0" applyAlignment="1" applyBorder="1" applyFont="1" applyNumberFormat="1">
      <alignment horizontal="center" readingOrder="0" shrinkToFit="0" vertical="center" wrapText="1"/>
    </xf>
    <xf borderId="30" fillId="0" fontId="8" numFmtId="166" xfId="0" applyAlignment="1" applyBorder="1" applyFont="1" applyNumberFormat="1">
      <alignment horizontal="center" shrinkToFit="0" vertical="center" wrapText="1"/>
    </xf>
    <xf borderId="32" fillId="0" fontId="8" numFmtId="0" xfId="0" applyAlignment="1" applyBorder="1" applyFont="1">
      <alignment horizontal="center" shrinkToFit="0" vertical="center" wrapText="1"/>
    </xf>
    <xf borderId="29" fillId="8" fontId="8" numFmtId="0" xfId="0" applyAlignment="1" applyBorder="1" applyFill="1" applyFont="1">
      <alignment horizontal="center" readingOrder="0" shrinkToFit="0" vertical="center" wrapText="1"/>
    </xf>
    <xf borderId="30" fillId="8" fontId="8" numFmtId="0" xfId="0" applyAlignment="1" applyBorder="1" applyFont="1">
      <alignment horizontal="center" readingOrder="0" shrinkToFit="0" vertical="center" wrapText="1"/>
    </xf>
    <xf borderId="22" fillId="0" fontId="1" numFmtId="0" xfId="0" applyAlignment="1" applyBorder="1" applyFont="1">
      <alignment horizontal="center" readingOrder="0" shrinkToFit="0" vertical="center" wrapText="1"/>
    </xf>
    <xf borderId="30" fillId="6" fontId="8" numFmtId="0" xfId="0" applyAlignment="1" applyBorder="1" applyFont="1">
      <alignment horizontal="center" shrinkToFit="0" vertical="center" wrapText="1"/>
    </xf>
    <xf borderId="22" fillId="0" fontId="8" numFmtId="49" xfId="0" applyAlignment="1" applyBorder="1" applyFont="1" applyNumberFormat="1">
      <alignment horizontal="center" shrinkToFit="0" vertical="center" wrapText="1"/>
    </xf>
    <xf borderId="30" fillId="6" fontId="8" numFmtId="165" xfId="0" applyAlignment="1" applyBorder="1" applyFont="1" applyNumberFormat="1">
      <alignment horizontal="center" shrinkToFit="0" vertical="center" wrapText="1"/>
    </xf>
    <xf borderId="6" fillId="7" fontId="1" numFmtId="165" xfId="0" applyAlignment="1" applyBorder="1" applyFont="1" applyNumberFormat="1">
      <alignment horizontal="center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30" fillId="0" fontId="8" numFmtId="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6" fillId="7" fontId="1" numFmtId="165" xfId="0" applyAlignment="1" applyBorder="1" applyFont="1" applyNumberFormat="1">
      <alignment horizontal="center" shrinkToFit="0" wrapText="1"/>
    </xf>
    <xf borderId="0" fillId="0" fontId="16" numFmtId="0" xfId="0" applyAlignment="1" applyFont="1">
      <alignment horizontal="center" shrinkToFit="0" wrapText="1"/>
    </xf>
    <xf borderId="30" fillId="0" fontId="8" numFmtId="0" xfId="0" applyAlignment="1" applyBorder="1" applyFont="1">
      <alignment horizontal="center" vertical="center"/>
    </xf>
    <xf borderId="38" fillId="0" fontId="8" numFmtId="167" xfId="0" applyAlignment="1" applyBorder="1" applyFont="1" applyNumberFormat="1">
      <alignment horizontal="center" vertical="center"/>
    </xf>
    <xf borderId="32" fillId="0" fontId="8" numFmtId="0" xfId="0" applyAlignment="1" applyBorder="1" applyFont="1">
      <alignment horizontal="center" vertical="center"/>
    </xf>
    <xf borderId="39" fillId="0" fontId="8" numFmtId="167" xfId="0" applyAlignment="1" applyBorder="1" applyFont="1" applyNumberFormat="1">
      <alignment horizontal="center" vertical="center"/>
    </xf>
    <xf borderId="0" fillId="0" fontId="8" numFmtId="167" xfId="0" applyAlignment="1" applyFont="1" applyNumberFormat="1">
      <alignment horizontal="center" vertical="center"/>
    </xf>
    <xf borderId="0" fillId="0" fontId="16" numFmtId="0" xfId="0" applyAlignment="1" applyFont="1">
      <alignment shrinkToFit="0" wrapText="1"/>
    </xf>
    <xf borderId="30" fillId="3" fontId="8" numFmtId="4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readingOrder="0"/>
    </xf>
    <xf borderId="38" fillId="9" fontId="17" numFmtId="0" xfId="0" applyAlignment="1" applyBorder="1" applyFill="1" applyFont="1">
      <alignment horizontal="center" readingOrder="0" vertical="center"/>
    </xf>
    <xf borderId="40" fillId="0" fontId="4" numFmtId="0" xfId="0" applyBorder="1" applyFont="1"/>
    <xf borderId="41" fillId="0" fontId="4" numFmtId="0" xfId="0" applyBorder="1" applyFont="1"/>
    <xf borderId="32" fillId="0" fontId="15" numFmtId="0" xfId="0" applyAlignment="1" applyBorder="1" applyFont="1">
      <alignment horizontal="center" shrinkToFit="0" vertical="center" wrapText="1"/>
    </xf>
    <xf borderId="34" fillId="0" fontId="4" numFmtId="0" xfId="0" applyBorder="1" applyFont="1"/>
    <xf borderId="42" fillId="0" fontId="4" numFmtId="0" xfId="0" applyBorder="1" applyFont="1"/>
    <xf borderId="26" fillId="0" fontId="4" numFmtId="0" xfId="0" applyBorder="1" applyFont="1"/>
    <xf borderId="20" fillId="0" fontId="15" numFmtId="0" xfId="0" applyAlignment="1" applyBorder="1" applyFont="1">
      <alignment horizontal="center" readingOrder="0" shrinkToFit="0" vertical="center" wrapText="1"/>
    </xf>
    <xf borderId="43" fillId="0" fontId="4" numFmtId="0" xfId="0" applyBorder="1" applyFont="1"/>
    <xf borderId="44" fillId="0" fontId="4" numFmtId="0" xfId="0" applyBorder="1" applyFont="1"/>
    <xf borderId="23" fillId="5" fontId="18" numFmtId="0" xfId="0" applyAlignment="1" applyBorder="1" applyFont="1">
      <alignment horizontal="center" vertical="center"/>
    </xf>
    <xf borderId="45" fillId="5" fontId="18" numFmtId="0" xfId="0" applyAlignment="1" applyBorder="1" applyFont="1">
      <alignment horizontal="center" vertical="center"/>
    </xf>
    <xf borderId="22" fillId="5" fontId="1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6" fillId="0" fontId="8" numFmtId="49" xfId="0" applyAlignment="1" applyBorder="1" applyFont="1" applyNumberFormat="1">
      <alignment horizontal="center" readingOrder="0" vertical="center"/>
    </xf>
    <xf borderId="45" fillId="6" fontId="19" numFmtId="169" xfId="0" applyAlignment="1" applyBorder="1" applyFont="1" applyNumberFormat="1">
      <alignment horizontal="center" vertical="center"/>
    </xf>
    <xf borderId="26" fillId="0" fontId="8" numFmtId="170" xfId="0" applyAlignment="1" applyBorder="1" applyFont="1" applyNumberFormat="1">
      <alignment horizontal="center" vertical="center"/>
    </xf>
    <xf borderId="22" fillId="8" fontId="8" numFmtId="170" xfId="0" applyAlignment="1" applyBorder="1" applyFont="1" applyNumberFormat="1">
      <alignment horizontal="center" readingOrder="0" vertical="center"/>
    </xf>
    <xf borderId="22" fillId="0" fontId="8" numFmtId="170" xfId="0" applyAlignment="1" applyBorder="1" applyFont="1" applyNumberFormat="1">
      <alignment horizontal="center" readingOrder="0" vertical="center"/>
    </xf>
    <xf borderId="31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readingOrder="0" vertical="center"/>
    </xf>
    <xf borderId="45" fillId="6" fontId="19" numFmtId="4" xfId="0" applyAlignment="1" applyBorder="1" applyFont="1" applyNumberFormat="1">
      <alignment horizontal="center" vertical="center"/>
    </xf>
    <xf borderId="22" fillId="8" fontId="8" numFmtId="170" xfId="0" applyAlignment="1" applyBorder="1" applyFont="1" applyNumberFormat="1">
      <alignment horizontal="center" vertical="center"/>
    </xf>
    <xf borderId="45" fillId="8" fontId="8" numFmtId="170" xfId="0" applyAlignment="1" applyBorder="1" applyFont="1" applyNumberFormat="1">
      <alignment horizontal="center" vertical="center"/>
    </xf>
    <xf borderId="26" fillId="8" fontId="8" numFmtId="170" xfId="0" applyAlignment="1" applyBorder="1" applyFont="1" applyNumberFormat="1">
      <alignment horizontal="center" vertical="center"/>
    </xf>
    <xf borderId="22" fillId="10" fontId="8" numFmtId="170" xfId="0" applyAlignment="1" applyBorder="1" applyFill="1" applyFont="1" applyNumberFormat="1">
      <alignment horizontal="center" readingOrder="0" vertical="center"/>
    </xf>
    <xf borderId="0" fillId="0" fontId="8" numFmtId="171" xfId="0" applyAlignment="1" applyFont="1" applyNumberFormat="1">
      <alignment horizontal="center" readingOrder="0" shrinkToFit="0" vertical="center" wrapText="1"/>
    </xf>
    <xf borderId="22" fillId="10" fontId="8" numFmtId="170" xfId="0" applyAlignment="1" applyBorder="1" applyFont="1" applyNumberFormat="1">
      <alignment horizontal="center" vertical="center"/>
    </xf>
    <xf borderId="0" fillId="10" fontId="16" numFmtId="0" xfId="0" applyFont="1"/>
    <xf borderId="22" fillId="0" fontId="8" numFmtId="170" xfId="0" applyAlignment="1" applyBorder="1" applyFont="1" applyNumberFormat="1">
      <alignment horizontal="center" vertical="center"/>
    </xf>
    <xf borderId="45" fillId="6" fontId="19" numFmtId="169" xfId="0" applyAlignment="1" applyBorder="1" applyFont="1" applyNumberFormat="1">
      <alignment horizontal="center" readingOrder="0" vertical="center"/>
    </xf>
    <xf borderId="38" fillId="11" fontId="17" numFmtId="0" xfId="0" applyAlignment="1" applyBorder="1" applyFill="1" applyFont="1">
      <alignment horizontal="center" readingOrder="0" vertical="center"/>
    </xf>
    <xf borderId="45" fillId="5" fontId="20" numFmtId="0" xfId="0" applyAlignment="1" applyBorder="1" applyFont="1">
      <alignment horizontal="center" readingOrder="0" vertical="center"/>
    </xf>
    <xf borderId="22" fillId="6" fontId="19" numFmtId="4" xfId="0" applyAlignment="1" applyBorder="1" applyFont="1" applyNumberFormat="1">
      <alignment horizontal="center" vertical="center"/>
    </xf>
    <xf borderId="22" fillId="6" fontId="19" numFmtId="4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8" numFmtId="0" xfId="0" applyFont="1"/>
    <xf borderId="22" fillId="12" fontId="9" numFmtId="165" xfId="0" applyAlignment="1" applyBorder="1" applyFill="1" applyFont="1" applyNumberFormat="1">
      <alignment horizontal="center" readingOrder="0" shrinkToFit="0" vertical="center" wrapText="1"/>
    </xf>
    <xf borderId="32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0"/>
    </xf>
    <xf borderId="30" fillId="8" fontId="1" numFmtId="0" xfId="0" applyAlignment="1" applyBorder="1" applyFont="1">
      <alignment horizontal="center" shrinkToFit="0" vertical="center" wrapText="1"/>
    </xf>
    <xf borderId="30" fillId="8" fontId="8" numFmtId="167" xfId="0" applyAlignment="1" applyBorder="1" applyFont="1" applyNumberFormat="1">
      <alignment horizontal="center" readingOrder="0" shrinkToFit="0" vertical="center" wrapText="1"/>
    </xf>
    <xf borderId="30" fillId="8" fontId="8" numFmtId="165" xfId="0" applyAlignment="1" applyBorder="1" applyFont="1" applyNumberFormat="1">
      <alignment horizontal="center" readingOrder="0" shrinkToFit="0" vertical="center" wrapText="1"/>
    </xf>
    <xf borderId="30" fillId="8" fontId="8" numFmtId="4" xfId="0" applyAlignment="1" applyBorder="1" applyFont="1" applyNumberFormat="1">
      <alignment horizontal="center" readingOrder="0" shrinkToFit="0" vertical="center" wrapText="1"/>
    </xf>
    <xf borderId="30" fillId="8" fontId="8" numFmtId="4" xfId="0" applyAlignment="1" applyBorder="1" applyFont="1" applyNumberFormat="1">
      <alignment horizontal="center" shrinkToFit="0" vertical="center" wrapText="1"/>
    </xf>
    <xf borderId="30" fillId="8" fontId="8" numFmtId="166" xfId="0" applyAlignment="1" applyBorder="1" applyFont="1" applyNumberFormat="1">
      <alignment horizontal="center" readingOrder="0" shrinkToFit="0" vertical="center" wrapText="1"/>
    </xf>
    <xf borderId="32" fillId="8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vertical="center"/>
    </xf>
    <xf borderId="46" fillId="5" fontId="21" numFmtId="0" xfId="0" applyAlignment="1" applyBorder="1" applyFont="1">
      <alignment horizontal="center" readingOrder="0" vertical="center"/>
    </xf>
    <xf borderId="47" fillId="0" fontId="4" numFmtId="0" xfId="0" applyBorder="1" applyFont="1"/>
    <xf borderId="48" fillId="0" fontId="4" numFmtId="0" xfId="0" applyBorder="1" applyFont="1"/>
    <xf borderId="34" fillId="0" fontId="22" numFmtId="0" xfId="0" applyAlignment="1" applyBorder="1" applyFont="1">
      <alignment horizontal="center" vertical="center"/>
    </xf>
    <xf borderId="30" fillId="7" fontId="8" numFmtId="165" xfId="0" applyAlignment="1" applyBorder="1" applyFont="1" applyNumberFormat="1">
      <alignment horizontal="center" shrinkToFit="0" vertical="center" wrapText="1"/>
    </xf>
    <xf borderId="22" fillId="0" fontId="23" numFmtId="0" xfId="0" applyAlignment="1" applyBorder="1" applyFont="1">
      <alignment horizontal="center" shrinkToFit="0" vertical="center" wrapText="1"/>
    </xf>
    <xf borderId="22" fillId="6" fontId="23" numFmtId="0" xfId="0" applyAlignment="1" applyBorder="1" applyFont="1">
      <alignment horizontal="center" shrinkToFit="0" vertical="center" wrapText="1"/>
    </xf>
    <xf borderId="22" fillId="6" fontId="1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24" fillId="13" fontId="23" numFmtId="0" xfId="0" applyAlignment="1" applyBorder="1" applyFill="1" applyFont="1">
      <alignment horizontal="center" vertical="center"/>
    </xf>
    <xf borderId="23" fillId="13" fontId="23" numFmtId="0" xfId="0" applyAlignment="1" applyBorder="1" applyFont="1">
      <alignment horizontal="center" vertical="center"/>
    </xf>
    <xf borderId="24" fillId="13" fontId="9" numFmtId="4" xfId="0" applyAlignment="1" applyBorder="1" applyFont="1" applyNumberFormat="1">
      <alignment horizontal="center" vertical="center"/>
    </xf>
    <xf borderId="23" fillId="6" fontId="8" numFmtId="172" xfId="0" applyAlignment="1" applyBorder="1" applyFont="1" applyNumberFormat="1">
      <alignment horizontal="center" vertical="center"/>
    </xf>
    <xf borderId="45" fillId="6" fontId="8" numFmtId="172" xfId="0" applyAlignment="1" applyBorder="1" applyFont="1" applyNumberFormat="1">
      <alignment horizontal="center" vertical="center"/>
    </xf>
    <xf borderId="26" fillId="8" fontId="9" numFmtId="167" xfId="0" applyAlignment="1" applyBorder="1" applyFont="1" applyNumberFormat="1">
      <alignment horizontal="center" readingOrder="0" vertical="center"/>
    </xf>
    <xf borderId="26" fillId="10" fontId="9" numFmtId="167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readingOrder="0"/>
    </xf>
    <xf borderId="24" fillId="13" fontId="23" numFmtId="0" xfId="0" applyAlignment="1" applyBorder="1" applyFont="1">
      <alignment horizontal="center" readingOrder="0" vertical="center"/>
    </xf>
    <xf borderId="23" fillId="13" fontId="23" numFmtId="0" xfId="0" applyAlignment="1" applyBorder="1" applyFont="1">
      <alignment horizontal="center" readingOrder="0" vertical="center"/>
    </xf>
    <xf borderId="24" fillId="13" fontId="9" numFmtId="4" xfId="0" applyAlignment="1" applyBorder="1" applyFont="1" applyNumberFormat="1">
      <alignment horizontal="center" readingOrder="0" vertical="center"/>
    </xf>
    <xf borderId="23" fillId="6" fontId="8" numFmtId="172" xfId="0" applyAlignment="1" applyBorder="1" applyFont="1" applyNumberFormat="1">
      <alignment horizontal="center" readingOrder="0" vertical="center"/>
    </xf>
    <xf borderId="45" fillId="6" fontId="8" numFmtId="172" xfId="0" applyAlignment="1" applyBorder="1" applyFont="1" applyNumberFormat="1">
      <alignment horizontal="center" readingOrder="0" vertical="center"/>
    </xf>
    <xf borderId="26" fillId="0" fontId="9" numFmtId="167" xfId="0" applyAlignment="1" applyBorder="1" applyFont="1" applyNumberFormat="1">
      <alignment horizontal="center" readingOrder="0" vertical="center"/>
    </xf>
    <xf borderId="45" fillId="8" fontId="9" numFmtId="167" xfId="0" applyAlignment="1" applyBorder="1" applyFont="1" applyNumberFormat="1">
      <alignment horizontal="center" readingOrder="0" vertical="center"/>
    </xf>
    <xf borderId="26" fillId="10" fontId="9" numFmtId="167" xfId="0" applyAlignment="1" applyBorder="1" applyFont="1" applyNumberFormat="1">
      <alignment horizontal="center" vertical="center"/>
    </xf>
    <xf borderId="45" fillId="10" fontId="9" numFmtId="167" xfId="0" applyAlignment="1" applyBorder="1" applyFont="1" applyNumberFormat="1">
      <alignment horizontal="center" readingOrder="0" vertical="center"/>
    </xf>
    <xf borderId="0" fillId="0" fontId="11" numFmtId="4" xfId="0" applyAlignment="1" applyFont="1" applyNumberFormat="1">
      <alignment horizontal="center" readingOrder="0" shrinkToFit="0" vertical="center" wrapText="1"/>
    </xf>
    <xf borderId="0" fillId="0" fontId="8" numFmtId="4" xfId="0" applyAlignment="1" applyFont="1" applyNumberFormat="1">
      <alignment horizontal="center" readingOrder="0" shrinkToFit="0" vertical="center" wrapText="1"/>
    </xf>
    <xf borderId="45" fillId="0" fontId="9" numFmtId="167" xfId="0" applyAlignment="1" applyBorder="1" applyFont="1" applyNumberFormat="1">
      <alignment horizontal="center" readingOrder="0" vertical="center"/>
    </xf>
    <xf borderId="22" fillId="6" fontId="8" numFmtId="0" xfId="0" applyAlignment="1" applyBorder="1" applyFont="1">
      <alignment horizontal="center" readingOrder="0" shrinkToFit="0" vertical="center" wrapText="1"/>
    </xf>
    <xf borderId="6" fillId="14" fontId="8" numFmtId="4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horizontal="center"/>
    </xf>
    <xf borderId="0" fillId="0" fontId="24" numFmtId="0" xfId="0" applyAlignment="1" applyFont="1">
      <alignment vertical="center"/>
    </xf>
    <xf borderId="0" fillId="0" fontId="24" numFmtId="0" xfId="0" applyAlignment="1" applyFont="1">
      <alignment readingOrder="0" vertical="center"/>
    </xf>
    <xf borderId="0" fillId="0" fontId="24" numFmtId="173" xfId="0" applyAlignment="1" applyFont="1" applyNumberFormat="1">
      <alignment readingOrder="0" vertical="center"/>
    </xf>
    <xf borderId="0" fillId="0" fontId="24" numFmtId="0" xfId="0" applyAlignment="1" applyFont="1">
      <alignment horizontal="center"/>
    </xf>
    <xf borderId="0" fillId="0" fontId="24" numFmtId="0" xfId="0" applyFont="1"/>
    <xf borderId="0" fillId="0" fontId="24" numFmtId="0" xfId="0" applyAlignment="1" applyFont="1">
      <alignment horizontal="center" vertical="center"/>
    </xf>
    <xf borderId="0" fillId="0" fontId="24" numFmtId="0" xfId="0" applyAlignment="1" applyFont="1">
      <alignment horizontal="center" readingOrder="0" shrinkToFit="0" vertical="center" wrapText="1"/>
    </xf>
    <xf borderId="30" fillId="15" fontId="8" numFmtId="4" xfId="0" applyAlignment="1" applyBorder="1" applyFill="1" applyFont="1" applyNumberFormat="1">
      <alignment horizontal="center" readingOrder="0" shrinkToFit="0" vertical="center" wrapText="1"/>
    </xf>
    <xf borderId="30" fillId="12" fontId="8" numFmtId="165" xfId="0" applyAlignment="1" applyBorder="1" applyFont="1" applyNumberFormat="1">
      <alignment horizontal="center" readingOrder="0" shrinkToFit="0" vertical="center" wrapText="1"/>
    </xf>
    <xf borderId="30" fillId="7" fontId="8" numFmtId="174" xfId="0" applyAlignment="1" applyBorder="1" applyFont="1" applyNumberFormat="1">
      <alignment horizontal="center" readingOrder="0" shrinkToFit="0" vertical="center" wrapText="1"/>
    </xf>
    <xf borderId="30" fillId="3" fontId="8" numFmtId="4" xfId="0" applyAlignment="1" applyBorder="1" applyFont="1" applyNumberFormat="1">
      <alignment horizontal="center" readingOrder="0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2" fillId="0" fontId="8" numFmtId="167" xfId="0" applyAlignment="1" applyBorder="1" applyFont="1" applyNumberFormat="1">
      <alignment horizontal="center" readingOrder="0" shrinkToFit="0" vertical="center" wrapText="1"/>
    </xf>
    <xf borderId="22" fillId="7" fontId="8" numFmtId="165" xfId="0" applyAlignment="1" applyBorder="1" applyFont="1" applyNumberFormat="1">
      <alignment horizontal="center" shrinkToFit="0" vertical="center" wrapText="1"/>
    </xf>
    <xf borderId="22" fillId="7" fontId="8" numFmtId="4" xfId="0" applyAlignment="1" applyBorder="1" applyFont="1" applyNumberFormat="1">
      <alignment horizontal="center" readingOrder="0" shrinkToFit="0" vertical="center" wrapText="1"/>
    </xf>
    <xf borderId="22" fillId="3" fontId="8" numFmtId="4" xfId="0" applyAlignment="1" applyBorder="1" applyFont="1" applyNumberFormat="1">
      <alignment horizontal="center" shrinkToFit="0" vertical="center" wrapText="1"/>
    </xf>
    <xf borderId="22" fillId="0" fontId="8" numFmtId="166" xfId="0" applyAlignment="1" applyBorder="1" applyFont="1" applyNumberForma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49" fillId="7" fontId="1" numFmtId="165" xfId="0" applyAlignment="1" applyBorder="1" applyFont="1" applyNumberFormat="1">
      <alignment horizontal="center" shrinkToFit="0" vertical="center" wrapText="1"/>
    </xf>
    <xf borderId="49" fillId="7" fontId="1" numFmtId="4" xfId="0" applyAlignment="1" applyBorder="1" applyFont="1" applyNumberFormat="1">
      <alignment horizontal="center" shrinkToFit="0" vertical="center" wrapText="1"/>
    </xf>
    <xf borderId="0" fillId="0" fontId="1" numFmtId="4" xfId="0" applyAlignment="1" applyFont="1" applyNumberFormat="1">
      <alignment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6" fillId="7" fontId="1" numFmtId="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6" fillId="7" fontId="1" numFmtId="4" xfId="0" applyAlignment="1" applyBorder="1" applyFont="1" applyNumberFormat="1">
      <alignment horizontal="center" readingOrder="0" shrinkToFit="0" vertical="center" wrapText="1"/>
    </xf>
    <xf borderId="46" fillId="5" fontId="25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vertical="center"/>
    </xf>
    <xf borderId="22" fillId="0" fontId="23" numFmtId="0" xfId="0" applyAlignment="1" applyBorder="1" applyFont="1">
      <alignment horizontal="center" readingOrder="0" shrinkToFit="0" vertical="center" wrapText="1"/>
    </xf>
    <xf borderId="30" fillId="13" fontId="9" numFmtId="4" xfId="0" applyAlignment="1" applyBorder="1" applyFont="1" applyNumberFormat="1">
      <alignment horizontal="center" readingOrder="0" vertical="center"/>
    </xf>
    <xf borderId="30" fillId="10" fontId="16" numFmtId="0" xfId="0" applyBorder="1" applyFont="1"/>
    <xf borderId="30" fillId="8" fontId="9" numFmtId="168" xfId="0" applyAlignment="1" applyBorder="1" applyFont="1" applyNumberFormat="1">
      <alignment horizontal="center" readingOrder="0" vertical="center"/>
    </xf>
    <xf borderId="30" fillId="0" fontId="9" numFmtId="168" xfId="0" applyAlignment="1" applyBorder="1" applyFont="1" applyNumberFormat="1">
      <alignment horizontal="center" readingOrder="0" vertical="center"/>
    </xf>
    <xf borderId="30" fillId="10" fontId="11" numFmtId="0" xfId="0" applyBorder="1" applyFont="1"/>
    <xf borderId="31" fillId="0" fontId="4" numFmtId="0" xfId="0" applyBorder="1" applyFont="1"/>
    <xf borderId="22" fillId="13" fontId="9" numFmtId="4" xfId="0" applyAlignment="1" applyBorder="1" applyFont="1" applyNumberFormat="1">
      <alignment horizontal="center" readingOrder="0" vertical="center"/>
    </xf>
    <xf borderId="22" fillId="10" fontId="9" numFmtId="168" xfId="0" applyAlignment="1" applyBorder="1" applyFont="1" applyNumberFormat="1">
      <alignment horizontal="center" readingOrder="0" vertical="center"/>
    </xf>
    <xf borderId="22" fillId="0" fontId="9" numFmtId="168" xfId="0" applyAlignment="1" applyBorder="1" applyFont="1" applyNumberFormat="1">
      <alignment horizontal="center" readingOrder="0" vertical="center"/>
    </xf>
    <xf borderId="49" fillId="14" fontId="8" numFmtId="4" xfId="0" applyAlignment="1" applyBorder="1" applyFont="1" applyNumberFormat="1">
      <alignment horizontal="center" vertical="center"/>
    </xf>
    <xf borderId="46" fillId="10" fontId="26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shrinkToFit="0" vertical="center" wrapText="1"/>
    </xf>
    <xf borderId="20" fillId="10" fontId="18" numFmtId="0" xfId="0" applyAlignment="1" applyBorder="1" applyFont="1">
      <alignment horizontal="center" shrinkToFit="0" vertical="center" wrapText="1"/>
    </xf>
    <xf borderId="20" fillId="6" fontId="15" numFmtId="0" xfId="0" applyAlignment="1" applyBorder="1" applyFont="1">
      <alignment horizontal="center" shrinkToFit="0" vertical="center" wrapText="1"/>
    </xf>
    <xf borderId="22" fillId="0" fontId="15" numFmtId="0" xfId="0" applyAlignment="1" applyBorder="1" applyFont="1">
      <alignment horizontal="center" shrinkToFit="0" vertical="center" wrapText="1"/>
    </xf>
    <xf borderId="22" fillId="0" fontId="15" numFmtId="0" xfId="0" applyAlignment="1" applyBorder="1" applyFont="1">
      <alignment horizontal="center" shrinkToFit="0" vertical="center" wrapText="1"/>
    </xf>
    <xf borderId="22" fillId="0" fontId="8" numFmtId="166" xfId="0" applyAlignment="1" applyBorder="1" applyFont="1" applyNumberFormat="1">
      <alignment horizontal="center" readingOrder="0" shrinkToFit="0" vertical="center" wrapText="1"/>
    </xf>
    <xf borderId="20" fillId="10" fontId="20" numFmtId="0" xfId="0" applyAlignment="1" applyBorder="1" applyFont="1">
      <alignment horizontal="center" readingOrder="0" shrinkToFit="0" vertical="center" wrapText="1"/>
    </xf>
    <xf borderId="22" fillId="0" fontId="15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0" fillId="10" fontId="18" numFmtId="0" xfId="0" applyAlignment="1" applyBorder="1" applyFont="1">
      <alignment horizontal="center" shrinkToFit="0" vertical="center" wrapText="1"/>
    </xf>
    <xf borderId="12" fillId="5" fontId="7" numFmtId="0" xfId="0" applyAlignment="1" applyBorder="1" applyFont="1">
      <alignment horizontal="center" readingOrder="0" shrinkToFit="0" vertical="center" wrapText="1"/>
    </xf>
    <xf borderId="14" fillId="5" fontId="7" numFmtId="0" xfId="0" applyAlignment="1" applyBorder="1" applyFont="1">
      <alignment horizontal="center" readingOrder="0" shrinkToFit="0" vertical="center" wrapText="1"/>
    </xf>
    <xf borderId="50" fillId="0" fontId="4" numFmtId="0" xfId="0" applyBorder="1" applyFont="1"/>
    <xf borderId="51" fillId="16" fontId="27" numFmtId="0" xfId="0" applyAlignment="1" applyBorder="1" applyFill="1" applyFont="1">
      <alignment horizontal="center"/>
    </xf>
    <xf borderId="41" fillId="6" fontId="8" numFmtId="0" xfId="0" applyAlignment="1" applyBorder="1" applyFont="1">
      <alignment horizontal="center" readingOrder="0" shrinkToFit="0" vertical="center" wrapText="1"/>
    </xf>
    <xf borderId="52" fillId="0" fontId="4" numFmtId="0" xfId="0" applyBorder="1" applyFont="1"/>
    <xf borderId="53" fillId="0" fontId="4" numFmtId="0" xfId="0" applyBorder="1" applyFont="1"/>
    <xf borderId="29" fillId="17" fontId="6" numFmtId="0" xfId="0" applyAlignment="1" applyBorder="1" applyFill="1" applyFont="1">
      <alignment horizontal="center" vertical="center"/>
    </xf>
    <xf borderId="30" fillId="17" fontId="6" numFmtId="0" xfId="0" applyAlignment="1" applyBorder="1" applyFont="1">
      <alignment horizontal="center" vertical="center"/>
    </xf>
    <xf borderId="20" fillId="17" fontId="6" numFmtId="0" xfId="0" applyAlignment="1" applyBorder="1" applyFont="1">
      <alignment horizontal="center" vertical="center"/>
    </xf>
    <xf borderId="32" fillId="17" fontId="6" numFmtId="0" xfId="0" applyAlignment="1" applyBorder="1" applyFont="1">
      <alignment horizontal="center" vertical="center"/>
    </xf>
    <xf borderId="54" fillId="0" fontId="4" numFmtId="0" xfId="0" applyBorder="1" applyFont="1"/>
    <xf borderId="22" fillId="17" fontId="6" numFmtId="0" xfId="0" applyAlignment="1" applyBorder="1" applyFont="1">
      <alignment horizontal="center" vertical="center"/>
    </xf>
    <xf borderId="33" fillId="0" fontId="4" numFmtId="0" xfId="0" applyBorder="1" applyFont="1"/>
    <xf borderId="21" fillId="0" fontId="1" numFmtId="0" xfId="0" applyBorder="1" applyFont="1"/>
    <xf borderId="22" fillId="0" fontId="10" numFmtId="0" xfId="0" applyAlignment="1" applyBorder="1" applyFont="1">
      <alignment horizontal="center" vertical="center"/>
    </xf>
    <xf borderId="22" fillId="0" fontId="1" numFmtId="0" xfId="0" applyBorder="1" applyFont="1"/>
    <xf borderId="22" fillId="0" fontId="1" numFmtId="14" xfId="0" applyBorder="1" applyFont="1" applyNumberFormat="1"/>
    <xf borderId="22" fillId="0" fontId="28" numFmtId="14" xfId="0" applyBorder="1" applyFont="1" applyNumberFormat="1"/>
    <xf borderId="22" fillId="0" fontId="1" numFmtId="175" xfId="0" applyBorder="1" applyFont="1" applyNumberFormat="1"/>
    <xf borderId="22" fillId="0" fontId="1" numFmtId="176" xfId="0" applyBorder="1" applyFont="1" applyNumberFormat="1"/>
    <xf borderId="22" fillId="0" fontId="1" numFmtId="177" xfId="0" applyBorder="1" applyFont="1" applyNumberFormat="1"/>
    <xf borderId="28" fillId="0" fontId="1" numFmtId="0" xfId="0" applyBorder="1" applyFont="1"/>
    <xf borderId="22" fillId="0" fontId="29" numFmtId="0" xfId="0" applyAlignment="1" applyBorder="1" applyFont="1">
      <alignment horizontal="center"/>
    </xf>
    <xf borderId="35" fillId="0" fontId="1" numFmtId="0" xfId="0" applyBorder="1" applyFont="1"/>
    <xf borderId="36" fillId="0" fontId="1" numFmtId="0" xfId="0" applyAlignment="1" applyBorder="1" applyFont="1">
      <alignment horizontal="center"/>
    </xf>
    <xf borderId="36" fillId="0" fontId="1" numFmtId="0" xfId="0" applyBorder="1" applyFont="1"/>
    <xf borderId="0" fillId="0" fontId="30" numFmtId="0" xfId="0" applyFont="1"/>
    <xf borderId="36" fillId="0" fontId="1" numFmtId="14" xfId="0" applyBorder="1" applyFont="1" applyNumberFormat="1"/>
    <xf borderId="36" fillId="0" fontId="28" numFmtId="14" xfId="0" applyBorder="1" applyFont="1" applyNumberFormat="1"/>
    <xf borderId="36" fillId="0" fontId="1" numFmtId="175" xfId="0" applyBorder="1" applyFont="1" applyNumberFormat="1"/>
    <xf borderId="55" fillId="0" fontId="4" numFmtId="0" xfId="0" applyBorder="1" applyFont="1"/>
    <xf borderId="36" fillId="0" fontId="1" numFmtId="176" xfId="0" applyBorder="1" applyFont="1" applyNumberFormat="1"/>
    <xf borderId="36" fillId="0" fontId="1" numFmtId="177" xfId="0" applyBorder="1" applyFont="1" applyNumberFormat="1"/>
    <xf borderId="37" fillId="0" fontId="1" numFmtId="0" xfId="0" applyBorder="1" applyFont="1"/>
    <xf borderId="22" fillId="18" fontId="27" numFmtId="0" xfId="0" applyAlignment="1" applyBorder="1" applyFill="1" applyFont="1">
      <alignment horizontal="center" vertical="center"/>
    </xf>
    <xf borderId="56" fillId="6" fontId="17" numFmtId="0" xfId="0" applyAlignment="1" applyBorder="1" applyFont="1">
      <alignment horizontal="center"/>
    </xf>
    <xf borderId="57" fillId="0" fontId="4" numFmtId="0" xfId="0" applyBorder="1" applyFont="1"/>
    <xf borderId="58" fillId="0" fontId="4" numFmtId="0" xfId="0" applyBorder="1" applyFont="1"/>
    <xf borderId="22" fillId="0" fontId="30" numFmtId="0" xfId="0" applyBorder="1" applyFont="1"/>
    <xf borderId="59" fillId="6" fontId="17" numFmtId="0" xfId="0" applyBorder="1" applyFont="1"/>
    <xf borderId="22" fillId="0" fontId="30" numFmtId="175" xfId="0" applyBorder="1" applyFont="1" applyNumberFormat="1"/>
    <xf borderId="60" fillId="6" fontId="17" numFmtId="176" xfId="0" applyBorder="1" applyFont="1" applyNumberFormat="1"/>
    <xf borderId="61" fillId="19" fontId="17" numFmtId="0" xfId="0" applyAlignment="1" applyBorder="1" applyFill="1" applyFont="1">
      <alignment horizontal="center"/>
    </xf>
    <xf borderId="62" fillId="0" fontId="4" numFmtId="0" xfId="0" applyBorder="1" applyFont="1"/>
    <xf borderId="63" fillId="0" fontId="4" numFmtId="0" xfId="0" applyBorder="1" applyFont="1"/>
    <xf borderId="22" fillId="16" fontId="27" numFmtId="0" xfId="0" applyAlignment="1" applyBorder="1" applyFont="1">
      <alignment horizontal="center"/>
    </xf>
    <xf borderId="30" fillId="0" fontId="8" numFmtId="0" xfId="0" applyAlignment="1" applyBorder="1" applyFont="1">
      <alignment horizontal="center" shrinkToFit="0" vertical="center" wrapText="1"/>
    </xf>
    <xf borderId="24" fillId="17" fontId="6" numFmtId="0" xfId="0" applyAlignment="1" applyBorder="1" applyFont="1">
      <alignment vertical="center"/>
    </xf>
    <xf borderId="64" fillId="17" fontId="6" numFmtId="0" xfId="0" applyAlignment="1" applyBorder="1" applyFont="1">
      <alignment vertical="center"/>
    </xf>
    <xf borderId="65" fillId="17" fontId="31" numFmtId="0" xfId="0" applyAlignment="1" applyBorder="1" applyFont="1">
      <alignment horizontal="center" shrinkToFit="0" vertical="center" wrapText="1"/>
    </xf>
    <xf borderId="66" fillId="0" fontId="4" numFmtId="0" xfId="0" applyBorder="1" applyFont="1"/>
    <xf borderId="22" fillId="16" fontId="27" numFmtId="175" xfId="0" applyAlignment="1" applyBorder="1" applyFont="1" applyNumberFormat="1">
      <alignment horizontal="center"/>
    </xf>
    <xf borderId="22" fillId="17" fontId="31" numFmtId="0" xfId="0" applyAlignment="1" applyBorder="1" applyFont="1">
      <alignment horizontal="center" shrinkToFit="0" vertical="center" wrapText="1"/>
    </xf>
    <xf borderId="21" fillId="20" fontId="32" numFmtId="0" xfId="0" applyAlignment="1" applyBorder="1" applyFill="1" applyFont="1">
      <alignment horizontal="center" vertical="top"/>
    </xf>
    <xf borderId="0" fillId="0" fontId="30" numFmtId="175" xfId="0" applyFont="1" applyNumberFormat="1"/>
    <xf borderId="22" fillId="20" fontId="33" numFmtId="0" xfId="0" applyAlignment="1" applyBorder="1" applyFont="1">
      <alignment horizontal="left" vertical="top"/>
    </xf>
    <xf borderId="22" fillId="0" fontId="34" numFmtId="0" xfId="0" applyAlignment="1" applyBorder="1" applyFont="1">
      <alignment shrinkToFit="0" vertical="center" wrapText="1"/>
    </xf>
    <xf borderId="22" fillId="6" fontId="27" numFmtId="0" xfId="0" applyAlignment="1" applyBorder="1" applyFont="1">
      <alignment horizontal="center"/>
    </xf>
    <xf borderId="22" fillId="20" fontId="33" numFmtId="0" xfId="0" applyAlignment="1" applyBorder="1" applyFont="1">
      <alignment horizontal="center" vertical="center"/>
    </xf>
    <xf borderId="22" fillId="20" fontId="33" numFmtId="14" xfId="0" applyAlignment="1" applyBorder="1" applyFont="1" applyNumberFormat="1">
      <alignment horizontal="left" vertical="top"/>
    </xf>
    <xf borderId="22" fillId="20" fontId="28" numFmtId="14" xfId="0" applyAlignment="1" applyBorder="1" applyFont="1" applyNumberFormat="1">
      <alignment horizontal="center" vertical="top"/>
    </xf>
    <xf borderId="22" fillId="3" fontId="33" numFmtId="175" xfId="0" applyAlignment="1" applyBorder="1" applyFont="1" applyNumberFormat="1">
      <alignment horizontal="right" vertical="top"/>
    </xf>
    <xf borderId="28" fillId="20" fontId="33" numFmtId="0" xfId="0" applyAlignment="1" applyBorder="1" applyFont="1">
      <alignment horizontal="left" vertical="top"/>
    </xf>
    <xf borderId="35" fillId="20" fontId="32" numFmtId="0" xfId="0" applyAlignment="1" applyBorder="1" applyFont="1">
      <alignment horizontal="center" vertical="top"/>
    </xf>
    <xf borderId="20" fillId="6" fontId="27" numFmtId="175" xfId="0" applyAlignment="1" applyBorder="1" applyFont="1" applyNumberFormat="1">
      <alignment horizontal="center"/>
    </xf>
    <xf borderId="30" fillId="6" fontId="8" numFmtId="166" xfId="0" applyAlignment="1" applyBorder="1" applyFont="1" applyNumberFormat="1">
      <alignment horizontal="center" shrinkToFit="0" vertical="center" wrapText="1"/>
    </xf>
    <xf borderId="36" fillId="2" fontId="33" numFmtId="0" xfId="0" applyAlignment="1" applyBorder="1" applyFont="1">
      <alignment horizontal="left" vertical="top"/>
    </xf>
    <xf borderId="36" fillId="0" fontId="34" numFmtId="0" xfId="0" applyAlignment="1" applyBorder="1" applyFont="1">
      <alignment shrinkToFit="0" vertical="center" wrapText="1"/>
    </xf>
    <xf borderId="36" fillId="2" fontId="33" numFmtId="0" xfId="0" applyAlignment="1" applyBorder="1" applyFont="1">
      <alignment horizontal="center" vertical="center"/>
    </xf>
    <xf borderId="36" fillId="2" fontId="33" numFmtId="14" xfId="0" applyAlignment="1" applyBorder="1" applyFont="1" applyNumberFormat="1">
      <alignment horizontal="left" vertical="top"/>
    </xf>
    <xf borderId="36" fillId="2" fontId="28" numFmtId="14" xfId="0" applyAlignment="1" applyBorder="1" applyFont="1" applyNumberFormat="1">
      <alignment horizontal="center" vertical="top"/>
    </xf>
    <xf borderId="36" fillId="3" fontId="33" numFmtId="175" xfId="0" applyAlignment="1" applyBorder="1" applyFont="1" applyNumberFormat="1">
      <alignment horizontal="right" vertical="top"/>
    </xf>
    <xf borderId="36" fillId="20" fontId="33" numFmtId="0" xfId="0" applyAlignment="1" applyBorder="1" applyFont="1">
      <alignment horizontal="left" vertical="top"/>
    </xf>
    <xf borderId="37" fillId="20" fontId="33" numFmtId="0" xfId="0" applyAlignment="1" applyBorder="1" applyFont="1">
      <alignment horizontal="left" vertical="top"/>
    </xf>
    <xf borderId="22" fillId="3" fontId="1" numFmtId="0" xfId="0" applyBorder="1" applyFont="1"/>
    <xf borderId="67" fillId="6" fontId="17" numFmtId="0" xfId="0" applyAlignment="1" applyBorder="1" applyFont="1">
      <alignment horizontal="center"/>
    </xf>
    <xf borderId="68" fillId="0" fontId="4" numFmtId="0" xfId="0" applyBorder="1" applyFont="1"/>
    <xf borderId="22" fillId="3" fontId="1" numFmtId="175" xfId="0" applyBorder="1" applyFont="1" applyNumberFormat="1"/>
    <xf borderId="69" fillId="0" fontId="4" numFmtId="0" xfId="0" applyBorder="1" applyFont="1"/>
    <xf borderId="0" fillId="0" fontId="1" numFmtId="175" xfId="0" applyFont="1" applyNumberFormat="1"/>
    <xf borderId="8" fillId="6" fontId="17" numFmtId="0" xfId="0" applyBorder="1" applyFont="1"/>
    <xf borderId="70" fillId="6" fontId="17" numFmtId="175" xfId="0" applyBorder="1" applyFont="1" applyNumberFormat="1"/>
    <xf borderId="56" fillId="16" fontId="35" numFmtId="0" xfId="0" applyAlignment="1" applyBorder="1" applyFont="1">
      <alignment horizontal="center"/>
    </xf>
    <xf borderId="59" fillId="16" fontId="35" numFmtId="0" xfId="0" applyBorder="1" applyFont="1"/>
    <xf borderId="71" fillId="16" fontId="21" numFmtId="176" xfId="0" applyBorder="1" applyFont="1" applyNumberFormat="1"/>
    <xf borderId="72" fillId="3" fontId="1" numFmtId="0" xfId="0" applyBorder="1" applyFont="1"/>
    <xf borderId="72" fillId="3" fontId="1" numFmtId="175" xfId="0" applyBorder="1" applyFont="1" applyNumberFormat="1"/>
    <xf borderId="22" fillId="16" fontId="17" numFmtId="175" xfId="0" applyBorder="1" applyFont="1" applyNumberFormat="1"/>
    <xf borderId="22" fillId="6" fontId="17" numFmtId="175" xfId="0" applyBorder="1" applyFont="1" applyNumberFormat="1"/>
    <xf borderId="29" fillId="0" fontId="8" numFmtId="0" xfId="0" applyAlignment="1" applyBorder="1" applyFont="1">
      <alignment horizontal="center" shrinkToFit="0" vertical="center" wrapText="1"/>
    </xf>
    <xf borderId="35" fillId="0" fontId="8" numFmtId="0" xfId="0" applyAlignment="1" applyBorder="1" applyFont="1">
      <alignment horizontal="center" shrinkToFit="0" vertical="center" wrapText="1"/>
    </xf>
    <xf borderId="36" fillId="0" fontId="8" numFmtId="0" xfId="0" applyAlignment="1" applyBorder="1" applyFont="1">
      <alignment horizontal="center" shrinkToFit="0" vertical="center" wrapText="1"/>
    </xf>
    <xf borderId="36" fillId="0" fontId="8" numFmtId="167" xfId="0" applyAlignment="1" applyBorder="1" applyFont="1" applyNumberFormat="1">
      <alignment horizontal="center" shrinkToFit="0" vertical="center" wrapText="1"/>
    </xf>
    <xf borderId="36" fillId="0" fontId="8" numFmtId="165" xfId="0" applyAlignment="1" applyBorder="1" applyFont="1" applyNumberFormat="1">
      <alignment horizontal="center" shrinkToFit="0" vertical="center" wrapText="1"/>
    </xf>
    <xf borderId="36" fillId="7" fontId="8" numFmtId="165" xfId="0" applyAlignment="1" applyBorder="1" applyFont="1" applyNumberFormat="1">
      <alignment horizontal="center" shrinkToFit="0" vertical="center" wrapText="1"/>
    </xf>
    <xf borderId="6" fillId="6" fontId="1" numFmtId="0" xfId="0" applyBorder="1" applyFont="1"/>
    <xf borderId="36" fillId="7" fontId="8" numFmtId="4" xfId="0" applyAlignment="1" applyBorder="1" applyFont="1" applyNumberFormat="1">
      <alignment horizontal="center" shrinkToFit="0" vertical="center" wrapText="1"/>
    </xf>
    <xf borderId="36" fillId="0" fontId="8" numFmtId="166" xfId="0" applyAlignment="1" applyBorder="1" applyFont="1" applyNumberFormat="1">
      <alignment horizontal="center" shrinkToFit="0" vertical="center" wrapText="1"/>
    </xf>
    <xf borderId="37" fillId="0" fontId="8" numFmtId="0" xfId="0" applyAlignment="1" applyBorder="1" applyFon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6" fillId="6" fontId="17" numFmtId="0" xfId="0" applyAlignment="1" applyBorder="1" applyFont="1">
      <alignment horizontal="center"/>
    </xf>
    <xf borderId="6" fillId="6" fontId="17" numFmtId="175" xfId="0" applyAlignment="1" applyBorder="1" applyFont="1" applyNumberFormat="1">
      <alignment horizontal="center"/>
    </xf>
  </cellXfs>
  <cellStyles count="1">
    <cellStyle xfId="0" name="Normal" builtinId="0"/>
  </cellStyles>
  <dxfs count="6"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1600200</xdr:colOff>
      <xdr:row>0</xdr:row>
      <xdr:rowOff>0</xdr:rowOff>
    </xdr:from>
    <xdr:ext cx="2352675" cy="762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0</xdr:row>
      <xdr:rowOff>0</xdr:rowOff>
    </xdr:from>
    <xdr:ext cx="2352675" cy="762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0</xdr:row>
      <xdr:rowOff>0</xdr:rowOff>
    </xdr:from>
    <xdr:ext cx="2352675" cy="762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38100</xdr:rowOff>
    </xdr:from>
    <xdr:ext cx="2352675" cy="828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0</xdr:row>
      <xdr:rowOff>0</xdr:rowOff>
    </xdr:from>
    <xdr:ext cx="2352675" cy="762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2.29"/>
    <col customWidth="1" min="2" max="2" width="12.86"/>
    <col customWidth="1" hidden="1" min="3" max="3" width="12.71"/>
    <col customWidth="1" min="4" max="4" width="27.86"/>
    <col customWidth="1" min="5" max="6" width="12.0"/>
    <col customWidth="1" min="7" max="8" width="11.86"/>
    <col customWidth="1" min="9" max="9" width="12.57"/>
    <col customWidth="1" min="10" max="10" width="13.86"/>
    <col customWidth="1" min="11" max="11" width="34.71"/>
    <col customWidth="1" min="12" max="12" width="17.86"/>
    <col customWidth="1" min="13" max="13" width="10.71"/>
    <col customWidth="1" min="14" max="14" width="16.71"/>
    <col customWidth="1" min="15" max="15" width="25.86"/>
    <col customWidth="1" min="16" max="26" width="10.71"/>
  </cols>
  <sheetData>
    <row r="1" ht="15.0" customHeight="1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  <c r="L1" s="10"/>
      <c r="M1" s="12"/>
    </row>
    <row r="2" ht="15.0" customHeight="1">
      <c r="A2" s="9"/>
      <c r="K2" s="13"/>
      <c r="L2" s="10"/>
      <c r="M2" s="12"/>
    </row>
    <row r="3" ht="15.0" customHeight="1">
      <c r="A3" s="9"/>
      <c r="K3" s="13"/>
      <c r="L3" s="10"/>
      <c r="M3" s="12"/>
    </row>
    <row r="4" ht="15.0" customHeight="1">
      <c r="A4" s="15"/>
      <c r="B4" s="17"/>
      <c r="C4" s="17"/>
      <c r="D4" s="17"/>
      <c r="E4" s="17"/>
      <c r="F4" s="17"/>
      <c r="G4" s="17"/>
      <c r="H4" s="17"/>
      <c r="I4" s="17"/>
      <c r="J4" s="17"/>
      <c r="K4" s="19"/>
      <c r="L4" s="10"/>
      <c r="M4" s="12"/>
    </row>
    <row r="5">
      <c r="A5" s="22" t="s">
        <v>5</v>
      </c>
      <c r="B5" s="24" t="s">
        <v>7</v>
      </c>
      <c r="C5" s="24" t="s">
        <v>4</v>
      </c>
      <c r="D5" s="24" t="s">
        <v>9</v>
      </c>
      <c r="E5" s="24" t="s">
        <v>10</v>
      </c>
      <c r="F5" s="24" t="s">
        <v>11</v>
      </c>
      <c r="G5" s="27" t="s">
        <v>13</v>
      </c>
      <c r="H5" s="27" t="s">
        <v>15</v>
      </c>
      <c r="I5" s="25" t="s">
        <v>17</v>
      </c>
      <c r="J5" s="31" t="s">
        <v>19</v>
      </c>
      <c r="K5" s="35" t="s">
        <v>21</v>
      </c>
      <c r="L5" s="10"/>
      <c r="M5" s="12"/>
    </row>
    <row r="6" ht="15.75" customHeight="1">
      <c r="A6" s="40"/>
      <c r="B6" s="42"/>
      <c r="C6" s="42"/>
      <c r="D6" s="44" t="s">
        <v>26</v>
      </c>
      <c r="E6" s="42"/>
      <c r="F6" s="42"/>
      <c r="G6" s="42"/>
      <c r="H6" s="49" t="s">
        <v>27</v>
      </c>
      <c r="I6" s="42"/>
      <c r="J6" s="49"/>
      <c r="K6" s="54"/>
      <c r="L6" s="10"/>
      <c r="M6" s="12"/>
    </row>
    <row r="7" ht="18.0" customHeight="1">
      <c r="A7" s="56" t="s">
        <v>30</v>
      </c>
      <c r="B7" s="58" t="s">
        <v>31</v>
      </c>
      <c r="C7" s="59"/>
      <c r="D7" s="60" t="s">
        <v>32</v>
      </c>
      <c r="E7" s="62">
        <v>46070.0</v>
      </c>
      <c r="F7" s="62">
        <v>45986.0</v>
      </c>
      <c r="G7" s="65" t="s">
        <v>34</v>
      </c>
      <c r="H7" s="69">
        <v>2150.0</v>
      </c>
      <c r="I7" s="72">
        <v>2150.0</v>
      </c>
      <c r="J7" s="76">
        <v>46034.0</v>
      </c>
      <c r="K7" s="78" t="s">
        <v>38</v>
      </c>
      <c r="L7" s="80"/>
      <c r="M7" s="81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8.0" customHeight="1">
      <c r="A8" s="86"/>
      <c r="B8" s="88" t="s">
        <v>31</v>
      </c>
      <c r="C8" s="90"/>
      <c r="D8" s="60" t="s">
        <v>41</v>
      </c>
      <c r="E8" s="92"/>
      <c r="F8" s="92">
        <v>45986.0</v>
      </c>
      <c r="G8" s="95" t="s">
        <v>34</v>
      </c>
      <c r="H8" s="69">
        <v>625.0</v>
      </c>
      <c r="I8" s="69">
        <v>625.0</v>
      </c>
      <c r="J8" s="98">
        <v>46056.0</v>
      </c>
      <c r="K8" s="99" t="s">
        <v>38</v>
      </c>
      <c r="L8" s="101"/>
      <c r="M8" s="102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ht="18.0" customHeight="1">
      <c r="A9" s="56" t="s">
        <v>44</v>
      </c>
      <c r="B9" s="58" t="s">
        <v>31</v>
      </c>
      <c r="C9" s="59"/>
      <c r="D9" s="60" t="s">
        <v>32</v>
      </c>
      <c r="E9" s="62">
        <v>46074.0</v>
      </c>
      <c r="F9" s="62">
        <v>45993.0</v>
      </c>
      <c r="G9" s="95" t="s">
        <v>34</v>
      </c>
      <c r="H9" s="69">
        <v>2150.0</v>
      </c>
      <c r="I9" s="72">
        <v>2150.0</v>
      </c>
      <c r="J9" s="76">
        <v>46055.0</v>
      </c>
      <c r="K9" s="78" t="s">
        <v>38</v>
      </c>
      <c r="L9" s="80"/>
      <c r="M9" s="81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8.0" customHeight="1">
      <c r="A10" s="86"/>
      <c r="B10" s="88" t="s">
        <v>31</v>
      </c>
      <c r="C10" s="90"/>
      <c r="D10" s="60" t="s">
        <v>41</v>
      </c>
      <c r="E10" s="92"/>
      <c r="F10" s="92">
        <v>46360.0</v>
      </c>
      <c r="G10" s="95" t="s">
        <v>34</v>
      </c>
      <c r="H10" s="69">
        <v>360.0</v>
      </c>
      <c r="I10" s="69">
        <v>360.0</v>
      </c>
      <c r="J10" s="98">
        <v>46056.0</v>
      </c>
      <c r="K10" s="99" t="s">
        <v>38</v>
      </c>
      <c r="L10" s="101"/>
      <c r="M10" s="102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18.0" customHeight="1">
      <c r="A11" s="86"/>
      <c r="B11" s="88" t="s">
        <v>31</v>
      </c>
      <c r="C11" s="90"/>
      <c r="D11" s="60" t="s">
        <v>41</v>
      </c>
      <c r="E11" s="92"/>
      <c r="F11" s="92">
        <v>46362.0</v>
      </c>
      <c r="G11" s="95" t="s">
        <v>34</v>
      </c>
      <c r="H11" s="69">
        <v>1510.0</v>
      </c>
      <c r="I11" s="69">
        <v>1510.0</v>
      </c>
      <c r="J11" s="98">
        <v>46079.0</v>
      </c>
      <c r="K11" s="99" t="s">
        <v>38</v>
      </c>
      <c r="L11" s="101"/>
      <c r="M11" s="102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ht="18.0" customHeight="1">
      <c r="A12" s="113" t="s">
        <v>52</v>
      </c>
      <c r="B12" s="88" t="s">
        <v>31</v>
      </c>
      <c r="C12" s="90"/>
      <c r="D12" s="60" t="s">
        <v>32</v>
      </c>
      <c r="E12" s="62">
        <v>46129.0</v>
      </c>
      <c r="F12" s="92">
        <v>46006.0</v>
      </c>
      <c r="G12" s="95" t="s">
        <v>34</v>
      </c>
      <c r="H12" s="69">
        <v>2150.0</v>
      </c>
      <c r="I12" s="69">
        <v>2150.0</v>
      </c>
      <c r="J12" s="98">
        <v>46085.0</v>
      </c>
      <c r="K12" s="99" t="s">
        <v>38</v>
      </c>
      <c r="L12" s="101"/>
      <c r="M12" s="102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ht="18.0" customHeight="1">
      <c r="A13" s="113" t="s">
        <v>55</v>
      </c>
      <c r="B13" s="88" t="s">
        <v>31</v>
      </c>
      <c r="C13" s="90"/>
      <c r="D13" s="60" t="s">
        <v>32</v>
      </c>
      <c r="E13" s="92">
        <v>46129.0</v>
      </c>
      <c r="F13" s="92">
        <v>46011.0</v>
      </c>
      <c r="G13" s="95" t="s">
        <v>34</v>
      </c>
      <c r="H13" s="69">
        <v>1830.0</v>
      </c>
      <c r="I13" s="116">
        <v>1830.0</v>
      </c>
      <c r="J13" s="98">
        <v>46113.0</v>
      </c>
      <c r="K13" s="99" t="s">
        <v>38</v>
      </c>
      <c r="L13" s="101"/>
      <c r="M13" s="102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18.0" customHeight="1">
      <c r="A14" s="113"/>
      <c r="B14" s="88" t="s">
        <v>60</v>
      </c>
      <c r="C14" s="90"/>
      <c r="D14" s="60" t="s">
        <v>61</v>
      </c>
      <c r="E14" s="119"/>
      <c r="F14" s="92">
        <v>46014.0</v>
      </c>
      <c r="G14" s="95" t="s">
        <v>34</v>
      </c>
      <c r="H14" s="69">
        <v>3466.67</v>
      </c>
      <c r="I14" s="116">
        <v>3621.18</v>
      </c>
      <c r="J14" s="98">
        <v>46136.0</v>
      </c>
      <c r="K14" s="99" t="s">
        <v>63</v>
      </c>
      <c r="L14" s="106"/>
      <c r="M14" s="102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ht="18.0" customHeight="1">
      <c r="A15" s="113"/>
      <c r="B15" s="88" t="s">
        <v>65</v>
      </c>
      <c r="C15" s="90"/>
      <c r="D15" s="60" t="s">
        <v>66</v>
      </c>
      <c r="E15" s="119"/>
      <c r="F15" s="92">
        <v>46016.0</v>
      </c>
      <c r="G15" s="65" t="s">
        <v>34</v>
      </c>
      <c r="H15" s="69">
        <v>2157.19</v>
      </c>
      <c r="I15" s="69">
        <v>2260.09</v>
      </c>
      <c r="J15" s="98">
        <v>46027.0</v>
      </c>
      <c r="K15" s="78" t="s">
        <v>38</v>
      </c>
      <c r="L15" s="101"/>
      <c r="M15" s="102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ht="18.0" customHeight="1">
      <c r="A16" s="113"/>
      <c r="B16" s="88" t="s">
        <v>69</v>
      </c>
      <c r="C16" s="90"/>
      <c r="D16" s="60" t="s">
        <v>61</v>
      </c>
      <c r="E16" s="119"/>
      <c r="F16" s="92">
        <v>46017.0</v>
      </c>
      <c r="G16" s="65" t="s">
        <v>34</v>
      </c>
      <c r="H16" s="69">
        <v>3466.67</v>
      </c>
      <c r="I16" s="69">
        <v>3615.04</v>
      </c>
      <c r="J16" s="98">
        <v>46028.0</v>
      </c>
      <c r="K16" s="78" t="s">
        <v>38</v>
      </c>
      <c r="L16" s="101"/>
      <c r="M16" s="102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ht="18.0" customHeight="1">
      <c r="A17" s="113" t="s">
        <v>71</v>
      </c>
      <c r="B17" s="88" t="s">
        <v>72</v>
      </c>
      <c r="C17" s="90"/>
      <c r="D17" s="60" t="s">
        <v>73</v>
      </c>
      <c r="E17" s="119"/>
      <c r="F17" s="92">
        <v>46017.0</v>
      </c>
      <c r="G17" s="65" t="s">
        <v>34</v>
      </c>
      <c r="H17" s="69">
        <v>2826.31</v>
      </c>
      <c r="I17" s="69">
        <v>2947.28</v>
      </c>
      <c r="J17" s="98">
        <v>46028.0</v>
      </c>
      <c r="K17" s="78" t="s">
        <v>38</v>
      </c>
      <c r="L17" s="101"/>
      <c r="M17" s="102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ht="18.0" customHeight="1">
      <c r="A18" s="113"/>
      <c r="B18" s="88" t="s">
        <v>77</v>
      </c>
      <c r="C18" s="90"/>
      <c r="D18" s="60" t="s">
        <v>66</v>
      </c>
      <c r="E18" s="119"/>
      <c r="F18" s="92">
        <v>46017.0</v>
      </c>
      <c r="G18" s="65" t="s">
        <v>34</v>
      </c>
      <c r="H18" s="69">
        <v>1495.17</v>
      </c>
      <c r="I18" s="69">
        <v>1589.51</v>
      </c>
      <c r="J18" s="98">
        <v>46028.0</v>
      </c>
      <c r="K18" s="78" t="s">
        <v>38</v>
      </c>
      <c r="L18" s="101"/>
      <c r="M18" s="102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18.0" customHeight="1">
      <c r="A19" s="113" t="s">
        <v>78</v>
      </c>
      <c r="B19" s="88" t="s">
        <v>31</v>
      </c>
      <c r="C19" s="90"/>
      <c r="D19" s="60" t="s">
        <v>32</v>
      </c>
      <c r="E19" s="92">
        <v>46070.0</v>
      </c>
      <c r="F19" s="92">
        <v>46018.0</v>
      </c>
      <c r="G19" s="95" t="s">
        <v>34</v>
      </c>
      <c r="H19" s="69">
        <v>1300.0</v>
      </c>
      <c r="I19" s="69">
        <v>1300.0</v>
      </c>
      <c r="J19" s="98">
        <v>46066.0</v>
      </c>
      <c r="K19" s="78" t="s">
        <v>38</v>
      </c>
      <c r="L19" s="101"/>
      <c r="M19" s="102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ht="18.0" customHeight="1">
      <c r="A20" s="113"/>
      <c r="B20" s="88" t="s">
        <v>80</v>
      </c>
      <c r="C20" s="90"/>
      <c r="D20" s="60" t="s">
        <v>61</v>
      </c>
      <c r="E20" s="119"/>
      <c r="F20" s="92">
        <v>46020.0</v>
      </c>
      <c r="G20" s="65" t="s">
        <v>34</v>
      </c>
      <c r="H20" s="69">
        <v>3466.66</v>
      </c>
      <c r="I20" s="69">
        <v>3606.94</v>
      </c>
      <c r="J20" s="98">
        <v>46029.0</v>
      </c>
      <c r="K20" s="78" t="s">
        <v>38</v>
      </c>
      <c r="L20" s="101"/>
      <c r="M20" s="102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8.0" customHeight="1">
      <c r="A21" s="113"/>
      <c r="B21" s="88" t="s">
        <v>81</v>
      </c>
      <c r="C21" s="90"/>
      <c r="D21" s="60" t="s">
        <v>66</v>
      </c>
      <c r="E21" s="119"/>
      <c r="F21" s="92">
        <v>46021.0</v>
      </c>
      <c r="G21" s="65" t="s">
        <v>34</v>
      </c>
      <c r="H21" s="69">
        <v>2157.19</v>
      </c>
      <c r="I21" s="69">
        <v>2255.0</v>
      </c>
      <c r="J21" s="98">
        <v>46030.0</v>
      </c>
      <c r="K21" s="78" t="s">
        <v>38</v>
      </c>
      <c r="L21" s="101"/>
      <c r="M21" s="102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8.0" customHeight="1">
      <c r="A22" s="113"/>
      <c r="B22" s="88">
        <v>3.172501167E9</v>
      </c>
      <c r="C22" s="90"/>
      <c r="D22" s="60" t="s">
        <v>66</v>
      </c>
      <c r="E22" s="119"/>
      <c r="F22" s="92">
        <v>46022.0</v>
      </c>
      <c r="G22" s="65" t="s">
        <v>82</v>
      </c>
      <c r="H22" s="69">
        <v>1080.85</v>
      </c>
      <c r="I22" s="69">
        <v>1090.9</v>
      </c>
      <c r="J22" s="98">
        <v>46030.0</v>
      </c>
      <c r="K22" s="78" t="s">
        <v>38</v>
      </c>
      <c r="L22" s="101"/>
      <c r="M22" s="102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8.0" customHeight="1">
      <c r="A23" s="113"/>
      <c r="B23" s="88" t="s">
        <v>84</v>
      </c>
      <c r="C23" s="90"/>
      <c r="D23" s="60" t="s">
        <v>66</v>
      </c>
      <c r="E23" s="119"/>
      <c r="F23" s="92">
        <v>46023.0</v>
      </c>
      <c r="G23" s="65" t="s">
        <v>34</v>
      </c>
      <c r="H23" s="69">
        <v>1351.06</v>
      </c>
      <c r="I23" s="69">
        <v>1363.75</v>
      </c>
      <c r="J23" s="98">
        <v>46031.0</v>
      </c>
      <c r="K23" s="78" t="s">
        <v>38</v>
      </c>
      <c r="L23" s="101"/>
      <c r="M23" s="102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8.0" customHeight="1">
      <c r="A24" s="113"/>
      <c r="B24" s="88" t="s">
        <v>85</v>
      </c>
      <c r="C24" s="90"/>
      <c r="D24" s="60" t="s">
        <v>61</v>
      </c>
      <c r="E24" s="119"/>
      <c r="F24" s="92">
        <v>46023.0</v>
      </c>
      <c r="G24" s="65" t="s">
        <v>34</v>
      </c>
      <c r="H24" s="69">
        <v>3575.0</v>
      </c>
      <c r="I24" s="69">
        <v>3608.24</v>
      </c>
      <c r="J24" s="98">
        <v>46031.0</v>
      </c>
      <c r="K24" s="78" t="s">
        <v>38</v>
      </c>
      <c r="L24" s="101"/>
      <c r="M24" s="102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8.0" customHeight="1">
      <c r="A25" s="113"/>
      <c r="B25" s="88" t="s">
        <v>87</v>
      </c>
      <c r="C25" s="90"/>
      <c r="D25" s="60" t="s">
        <v>66</v>
      </c>
      <c r="E25" s="119"/>
      <c r="F25" s="92">
        <v>46024.0</v>
      </c>
      <c r="G25" s="65" t="s">
        <v>34</v>
      </c>
      <c r="H25" s="69">
        <v>2157.19</v>
      </c>
      <c r="I25" s="69">
        <v>2182.54</v>
      </c>
      <c r="J25" s="98">
        <v>46034.0</v>
      </c>
      <c r="K25" s="78" t="s">
        <v>38</v>
      </c>
      <c r="L25" s="101"/>
      <c r="M25" s="102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18.0" customHeight="1">
      <c r="A26" s="113"/>
      <c r="B26" s="88" t="s">
        <v>88</v>
      </c>
      <c r="C26" s="90"/>
      <c r="D26" s="60" t="s">
        <v>61</v>
      </c>
      <c r="E26" s="119"/>
      <c r="F26" s="92">
        <v>46026.0</v>
      </c>
      <c r="G26" s="65" t="s">
        <v>34</v>
      </c>
      <c r="H26" s="69">
        <v>3641.67</v>
      </c>
      <c r="I26" s="69">
        <v>3789.42</v>
      </c>
      <c r="J26" s="98">
        <v>46035.0</v>
      </c>
      <c r="K26" s="78" t="s">
        <v>38</v>
      </c>
      <c r="L26" s="101"/>
      <c r="M26" s="102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18.0" customHeight="1">
      <c r="A27" s="113" t="s">
        <v>90</v>
      </c>
      <c r="B27" s="88" t="s">
        <v>91</v>
      </c>
      <c r="C27" s="90"/>
      <c r="D27" s="60" t="s">
        <v>73</v>
      </c>
      <c r="E27" s="119"/>
      <c r="F27" s="92">
        <v>46026.0</v>
      </c>
      <c r="G27" s="65" t="s">
        <v>34</v>
      </c>
      <c r="H27" s="69">
        <v>2068.14</v>
      </c>
      <c r="I27" s="69">
        <v>2164.78</v>
      </c>
      <c r="J27" s="98">
        <v>46035.0</v>
      </c>
      <c r="K27" s="78" t="s">
        <v>38</v>
      </c>
      <c r="L27" s="101"/>
      <c r="M27" s="102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8.0" customHeight="1">
      <c r="A28" s="134"/>
      <c r="B28" s="135" t="s">
        <v>31</v>
      </c>
      <c r="C28" s="136"/>
      <c r="D28" s="137" t="s">
        <v>32</v>
      </c>
      <c r="E28" s="138"/>
      <c r="F28" s="139">
        <v>46026.0</v>
      </c>
      <c r="G28" s="140" t="s">
        <v>34</v>
      </c>
      <c r="H28" s="143">
        <f>3980-3750</f>
        <v>230</v>
      </c>
      <c r="I28" s="144"/>
      <c r="J28" s="145"/>
      <c r="K28" s="146"/>
      <c r="L28" s="101"/>
      <c r="M28" s="102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18.0" customHeight="1">
      <c r="A29" s="113"/>
      <c r="B29" s="88" t="s">
        <v>95</v>
      </c>
      <c r="C29" s="90"/>
      <c r="D29" s="60" t="s">
        <v>61</v>
      </c>
      <c r="E29" s="119"/>
      <c r="F29" s="92">
        <v>46029.0</v>
      </c>
      <c r="G29" s="65" t="s">
        <v>34</v>
      </c>
      <c r="H29" s="69">
        <v>3641.67</v>
      </c>
      <c r="I29" s="69">
        <v>3789.42</v>
      </c>
      <c r="J29" s="98">
        <v>46038.0</v>
      </c>
      <c r="K29" s="78" t="s">
        <v>38</v>
      </c>
      <c r="L29" s="101"/>
      <c r="M29" s="102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8.0" customHeight="1">
      <c r="A30" s="113"/>
      <c r="B30" s="88" t="s">
        <v>97</v>
      </c>
      <c r="C30" s="90"/>
      <c r="D30" s="60" t="s">
        <v>66</v>
      </c>
      <c r="E30" s="119"/>
      <c r="F30" s="92">
        <v>46030.0</v>
      </c>
      <c r="G30" s="65" t="s">
        <v>34</v>
      </c>
      <c r="H30" s="69">
        <v>2157.19</v>
      </c>
      <c r="I30" s="69">
        <v>2180.0</v>
      </c>
      <c r="J30" s="98">
        <v>46039.0</v>
      </c>
      <c r="K30" s="78" t="s">
        <v>38</v>
      </c>
      <c r="L30" s="101"/>
      <c r="M30" s="102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8.0" customHeight="1">
      <c r="A31" s="147" t="s">
        <v>98</v>
      </c>
      <c r="B31" s="88" t="s">
        <v>31</v>
      </c>
      <c r="C31" s="90"/>
      <c r="D31" s="60" t="s">
        <v>32</v>
      </c>
      <c r="E31" s="148" t="s">
        <v>98</v>
      </c>
      <c r="F31" s="92">
        <v>46032.0</v>
      </c>
      <c r="G31" s="95" t="s">
        <v>34</v>
      </c>
      <c r="H31" s="69">
        <v>3980.0</v>
      </c>
      <c r="I31" s="69">
        <v>3980.0</v>
      </c>
      <c r="J31" s="98">
        <v>46161.0</v>
      </c>
      <c r="K31" s="78" t="s">
        <v>38</v>
      </c>
      <c r="L31" s="101"/>
      <c r="M31" s="102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18.0" customHeight="1">
      <c r="A32" s="113"/>
      <c r="B32" s="88" t="s">
        <v>99</v>
      </c>
      <c r="C32" s="90"/>
      <c r="D32" s="60" t="s">
        <v>61</v>
      </c>
      <c r="E32" s="119"/>
      <c r="F32" s="92">
        <v>46032.0</v>
      </c>
      <c r="G32" s="65" t="s">
        <v>34</v>
      </c>
      <c r="H32" s="69">
        <v>3641.67</v>
      </c>
      <c r="I32" s="69">
        <v>3680.16</v>
      </c>
      <c r="J32" s="98">
        <v>46041.0</v>
      </c>
      <c r="K32" s="78" t="s">
        <v>38</v>
      </c>
      <c r="L32" s="101"/>
      <c r="M32" s="102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18.0" customHeight="1">
      <c r="A33" s="113" t="s">
        <v>101</v>
      </c>
      <c r="B33" s="88" t="s">
        <v>102</v>
      </c>
      <c r="C33" s="90"/>
      <c r="D33" s="60" t="s">
        <v>73</v>
      </c>
      <c r="E33" s="119"/>
      <c r="F33" s="92">
        <v>46034.0</v>
      </c>
      <c r="G33" s="65" t="s">
        <v>34</v>
      </c>
      <c r="H33" s="69">
        <v>4311.74</v>
      </c>
      <c r="I33" s="69">
        <v>4311.74</v>
      </c>
      <c r="J33" s="98">
        <v>46066.0</v>
      </c>
      <c r="K33" s="78" t="s">
        <v>63</v>
      </c>
      <c r="L33" s="101"/>
      <c r="M33" s="102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18.0" customHeight="1">
      <c r="A34" s="86"/>
      <c r="B34" s="150" t="s">
        <v>103</v>
      </c>
      <c r="C34" s="90"/>
      <c r="D34" s="150" t="s">
        <v>61</v>
      </c>
      <c r="E34" s="119"/>
      <c r="F34" s="119">
        <v>46035.0</v>
      </c>
      <c r="G34" s="152" t="s">
        <v>34</v>
      </c>
      <c r="H34" s="116">
        <v>3730.0</v>
      </c>
      <c r="I34" s="116">
        <v>3892.4</v>
      </c>
      <c r="J34" s="98">
        <v>46095.0</v>
      </c>
      <c r="K34" s="78" t="s">
        <v>63</v>
      </c>
      <c r="L34" s="106"/>
      <c r="M34" s="102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18.0" customHeight="1">
      <c r="A35" s="113"/>
      <c r="B35" s="88" t="s">
        <v>104</v>
      </c>
      <c r="C35" s="90"/>
      <c r="D35" s="60" t="s">
        <v>66</v>
      </c>
      <c r="E35" s="119"/>
      <c r="F35" s="92">
        <v>46035.0</v>
      </c>
      <c r="G35" s="65" t="s">
        <v>34</v>
      </c>
      <c r="H35" s="69">
        <v>1351.06</v>
      </c>
      <c r="I35" s="69">
        <v>1440.35</v>
      </c>
      <c r="J35" s="98">
        <v>46044.0</v>
      </c>
      <c r="K35" s="78" t="s">
        <v>38</v>
      </c>
      <c r="L35" s="101"/>
      <c r="M35" s="102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ht="18.0" customHeight="1">
      <c r="A36" s="113"/>
      <c r="B36" s="88" t="s">
        <v>105</v>
      </c>
      <c r="C36" s="90"/>
      <c r="D36" s="60" t="s">
        <v>73</v>
      </c>
      <c r="E36" s="119"/>
      <c r="F36" s="92">
        <v>46037.0</v>
      </c>
      <c r="G36" s="65" t="s">
        <v>34</v>
      </c>
      <c r="H36" s="69">
        <v>778.59</v>
      </c>
      <c r="I36" s="69">
        <v>785.83</v>
      </c>
      <c r="J36" s="98">
        <v>46045.0</v>
      </c>
      <c r="K36" s="78" t="s">
        <v>38</v>
      </c>
      <c r="L36" s="101"/>
      <c r="M36" s="102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ht="18.0" customHeight="1">
      <c r="A37" s="113"/>
      <c r="B37" s="88" t="s">
        <v>106</v>
      </c>
      <c r="C37" s="90"/>
      <c r="D37" s="60" t="s">
        <v>73</v>
      </c>
      <c r="E37" s="119"/>
      <c r="F37" s="92">
        <v>46037.0</v>
      </c>
      <c r="G37" s="65" t="s">
        <v>34</v>
      </c>
      <c r="H37" s="69">
        <v>1726.76</v>
      </c>
      <c r="I37" s="69">
        <v>1742.82</v>
      </c>
      <c r="J37" s="98">
        <v>46045.0</v>
      </c>
      <c r="K37" s="78" t="s">
        <v>38</v>
      </c>
      <c r="L37" s="101"/>
      <c r="M37" s="102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ht="18.0" customHeight="1">
      <c r="A38" s="113"/>
      <c r="B38" s="88" t="s">
        <v>107</v>
      </c>
      <c r="C38" s="90"/>
      <c r="D38" s="60" t="s">
        <v>66</v>
      </c>
      <c r="E38" s="119"/>
      <c r="F38" s="92">
        <v>46037.0</v>
      </c>
      <c r="G38" s="65" t="s">
        <v>34</v>
      </c>
      <c r="H38" s="69">
        <v>1553.72</v>
      </c>
      <c r="I38" s="69">
        <v>1568.32</v>
      </c>
      <c r="J38" s="98">
        <v>46045.0</v>
      </c>
      <c r="K38" s="78" t="s">
        <v>38</v>
      </c>
      <c r="L38" s="101"/>
      <c r="M38" s="102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18.0" customHeight="1">
      <c r="A39" s="113"/>
      <c r="B39" s="88" t="s">
        <v>108</v>
      </c>
      <c r="C39" s="90"/>
      <c r="D39" s="60" t="s">
        <v>61</v>
      </c>
      <c r="E39" s="119"/>
      <c r="F39" s="92">
        <v>46038.0</v>
      </c>
      <c r="G39" s="65" t="s">
        <v>34</v>
      </c>
      <c r="H39" s="69">
        <v>3730.0</v>
      </c>
      <c r="I39" s="69">
        <v>3773.39</v>
      </c>
      <c r="J39" s="98">
        <v>46048.0</v>
      </c>
      <c r="K39" s="78" t="s">
        <v>38</v>
      </c>
      <c r="L39" s="101"/>
      <c r="M39" s="102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18.0" customHeight="1">
      <c r="A40" s="113"/>
      <c r="B40" s="88" t="s">
        <v>109</v>
      </c>
      <c r="C40" s="90"/>
      <c r="D40" s="60" t="s">
        <v>66</v>
      </c>
      <c r="E40" s="119"/>
      <c r="F40" s="92">
        <v>46039.0</v>
      </c>
      <c r="G40" s="65" t="s">
        <v>34</v>
      </c>
      <c r="H40" s="69">
        <v>1495.17</v>
      </c>
      <c r="I40" s="69">
        <v>1510.98</v>
      </c>
      <c r="J40" s="98">
        <v>46048.0</v>
      </c>
      <c r="K40" s="78" t="s">
        <v>38</v>
      </c>
      <c r="L40" s="101"/>
      <c r="M40" s="102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ht="18.0" customHeight="1">
      <c r="A41" s="113"/>
      <c r="B41" s="88" t="s">
        <v>110</v>
      </c>
      <c r="C41" s="90"/>
      <c r="D41" s="60" t="s">
        <v>66</v>
      </c>
      <c r="E41" s="119"/>
      <c r="F41" s="92">
        <v>46040.0</v>
      </c>
      <c r="G41" s="65" t="s">
        <v>34</v>
      </c>
      <c r="H41" s="69">
        <v>2157.19</v>
      </c>
      <c r="I41" s="69">
        <v>2255.0</v>
      </c>
      <c r="J41" s="98">
        <v>46049.0</v>
      </c>
      <c r="K41" s="78" t="s">
        <v>38</v>
      </c>
      <c r="L41" s="101"/>
      <c r="M41" s="102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ht="18.0" customHeight="1">
      <c r="A42" s="113"/>
      <c r="B42" s="88" t="s">
        <v>111</v>
      </c>
      <c r="C42" s="90"/>
      <c r="D42" s="60" t="s">
        <v>61</v>
      </c>
      <c r="E42" s="119"/>
      <c r="F42" s="92">
        <v>46040.0</v>
      </c>
      <c r="G42" s="65" t="s">
        <v>34</v>
      </c>
      <c r="H42" s="69">
        <v>3912.8</v>
      </c>
      <c r="I42" s="69">
        <v>4071.13</v>
      </c>
      <c r="J42" s="98">
        <v>46049.0</v>
      </c>
      <c r="K42" s="78" t="s">
        <v>38</v>
      </c>
      <c r="L42" s="101"/>
      <c r="M42" s="102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18.0" customHeight="1">
      <c r="A43" s="113"/>
      <c r="B43" s="88" t="s">
        <v>112</v>
      </c>
      <c r="C43" s="90"/>
      <c r="D43" s="60" t="s">
        <v>113</v>
      </c>
      <c r="E43" s="92">
        <v>45981.0</v>
      </c>
      <c r="F43" s="92">
        <v>46041.0</v>
      </c>
      <c r="G43" s="65" t="s">
        <v>34</v>
      </c>
      <c r="H43" s="69">
        <v>1035.44</v>
      </c>
      <c r="I43" s="69">
        <v>1121.27</v>
      </c>
      <c r="J43" s="98">
        <v>46050.0</v>
      </c>
      <c r="K43" s="78" t="s">
        <v>38</v>
      </c>
      <c r="L43" s="101"/>
      <c r="M43" s="102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8.0" customHeight="1">
      <c r="A44" s="113" t="s">
        <v>114</v>
      </c>
      <c r="B44" s="88" t="s">
        <v>115</v>
      </c>
      <c r="C44" s="90"/>
      <c r="D44" s="60" t="s">
        <v>73</v>
      </c>
      <c r="E44" s="119"/>
      <c r="F44" s="92">
        <v>46041.0</v>
      </c>
      <c r="G44" s="65" t="s">
        <v>34</v>
      </c>
      <c r="H44" s="69">
        <v>1245.51</v>
      </c>
      <c r="I44" s="69">
        <v>1333.54</v>
      </c>
      <c r="J44" s="98">
        <v>46050.0</v>
      </c>
      <c r="K44" s="78" t="s">
        <v>38</v>
      </c>
      <c r="L44" s="101"/>
      <c r="M44" s="102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8.0" customHeight="1">
      <c r="A45" s="113" t="s">
        <v>116</v>
      </c>
      <c r="B45" s="88" t="s">
        <v>31</v>
      </c>
      <c r="C45" s="90"/>
      <c r="D45" s="60" t="s">
        <v>66</v>
      </c>
      <c r="E45" s="92">
        <v>46011.0</v>
      </c>
      <c r="F45" s="92">
        <v>46041.0</v>
      </c>
      <c r="G45" s="65" t="s">
        <v>34</v>
      </c>
      <c r="H45" s="69">
        <v>1621.27</v>
      </c>
      <c r="I45" s="69">
        <v>1621.27</v>
      </c>
      <c r="J45" s="98">
        <v>46052.0</v>
      </c>
      <c r="K45" s="78" t="s">
        <v>38</v>
      </c>
      <c r="L45" s="101"/>
      <c r="M45" s="102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8.0" hidden="1" customHeight="1">
      <c r="A46" s="134"/>
      <c r="B46" s="135" t="s">
        <v>117</v>
      </c>
      <c r="C46" s="136"/>
      <c r="D46" s="137" t="s">
        <v>61</v>
      </c>
      <c r="E46" s="138"/>
      <c r="F46" s="139">
        <v>46042.0</v>
      </c>
      <c r="G46" s="140"/>
      <c r="H46" s="143">
        <v>3215.0</v>
      </c>
      <c r="I46" s="155"/>
      <c r="J46" s="145"/>
      <c r="K46" s="146"/>
      <c r="L46" s="101"/>
      <c r="M46" s="102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8.0" customHeight="1">
      <c r="A47" s="113"/>
      <c r="B47" s="88" t="s">
        <v>118</v>
      </c>
      <c r="C47" s="90"/>
      <c r="D47" s="60" t="s">
        <v>61</v>
      </c>
      <c r="E47" s="119"/>
      <c r="F47" s="92">
        <v>46043.0</v>
      </c>
      <c r="G47" s="65" t="s">
        <v>34</v>
      </c>
      <c r="H47" s="69">
        <v>3912.8</v>
      </c>
      <c r="I47" s="69">
        <v>3949.19</v>
      </c>
      <c r="J47" s="98">
        <v>46051.0</v>
      </c>
      <c r="K47" s="78" t="s">
        <v>38</v>
      </c>
      <c r="L47" s="101"/>
      <c r="M47" s="102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8.0" customHeight="1">
      <c r="A48" s="113"/>
      <c r="B48" s="88" t="s">
        <v>119</v>
      </c>
      <c r="C48" s="90"/>
      <c r="D48" s="60" t="s">
        <v>113</v>
      </c>
      <c r="E48" s="92">
        <v>45982.0</v>
      </c>
      <c r="F48" s="92">
        <v>46043.0</v>
      </c>
      <c r="G48" s="65" t="s">
        <v>34</v>
      </c>
      <c r="H48" s="69">
        <v>2163.63</v>
      </c>
      <c r="I48" s="69">
        <v>2183.75</v>
      </c>
      <c r="J48" s="98">
        <v>46051.0</v>
      </c>
      <c r="K48" s="78" t="s">
        <v>38</v>
      </c>
      <c r="L48" s="101"/>
      <c r="M48" s="102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8.0" hidden="1" customHeight="1">
      <c r="A49" s="134"/>
      <c r="B49" s="135" t="s">
        <v>117</v>
      </c>
      <c r="C49" s="136"/>
      <c r="D49" s="137" t="s">
        <v>61</v>
      </c>
      <c r="E49" s="138"/>
      <c r="F49" s="139">
        <v>46044.0</v>
      </c>
      <c r="G49" s="140"/>
      <c r="H49" s="143">
        <v>3215.0</v>
      </c>
      <c r="I49" s="155"/>
      <c r="J49" s="145"/>
      <c r="K49" s="146"/>
      <c r="L49" s="101"/>
      <c r="M49" s="102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8.0" customHeight="1">
      <c r="A50" s="113"/>
      <c r="B50" s="88" t="s">
        <v>120</v>
      </c>
      <c r="C50" s="90"/>
      <c r="D50" s="60" t="s">
        <v>61</v>
      </c>
      <c r="E50" s="119"/>
      <c r="F50" s="92">
        <v>46045.0</v>
      </c>
      <c r="G50" s="65" t="s">
        <v>34</v>
      </c>
      <c r="H50" s="69">
        <v>3912.8</v>
      </c>
      <c r="I50" s="69">
        <v>3958.31</v>
      </c>
      <c r="J50" s="98">
        <v>46055.0</v>
      </c>
      <c r="K50" s="78" t="s">
        <v>38</v>
      </c>
      <c r="L50" s="101"/>
      <c r="M50" s="102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8.0" customHeight="1">
      <c r="A51" s="113" t="s">
        <v>121</v>
      </c>
      <c r="B51" s="88" t="s">
        <v>122</v>
      </c>
      <c r="C51" s="90"/>
      <c r="D51" s="88" t="s">
        <v>73</v>
      </c>
      <c r="E51" s="119"/>
      <c r="F51" s="92">
        <v>46045.0</v>
      </c>
      <c r="G51" s="65" t="s">
        <v>34</v>
      </c>
      <c r="H51" s="69">
        <v>484.35</v>
      </c>
      <c r="I51" s="69">
        <v>489.98</v>
      </c>
      <c r="J51" s="98">
        <v>46055.0</v>
      </c>
      <c r="K51" s="78" t="s">
        <v>38</v>
      </c>
      <c r="L51" s="101"/>
      <c r="M51" s="102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8.0" customHeight="1">
      <c r="A52" s="113"/>
      <c r="B52" s="88" t="s">
        <v>123</v>
      </c>
      <c r="C52" s="90"/>
      <c r="D52" s="88" t="s">
        <v>66</v>
      </c>
      <c r="E52" s="119"/>
      <c r="F52" s="92">
        <v>46047.0</v>
      </c>
      <c r="G52" s="65" t="s">
        <v>34</v>
      </c>
      <c r="H52" s="69">
        <v>2157.19</v>
      </c>
      <c r="I52" s="69">
        <v>2255.0</v>
      </c>
      <c r="J52" s="98">
        <v>46056.0</v>
      </c>
      <c r="K52" s="78" t="s">
        <v>38</v>
      </c>
      <c r="L52" s="101"/>
      <c r="M52" s="102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8.0" customHeight="1">
      <c r="A53" s="134"/>
      <c r="B53" s="135" t="s">
        <v>31</v>
      </c>
      <c r="C53" s="136"/>
      <c r="D53" s="137" t="s">
        <v>32</v>
      </c>
      <c r="E53" s="138"/>
      <c r="F53" s="139">
        <v>46047.0</v>
      </c>
      <c r="G53" s="140" t="s">
        <v>34</v>
      </c>
      <c r="H53" s="143">
        <f>3605.71-2600</f>
        <v>1005.71</v>
      </c>
      <c r="I53" s="155"/>
      <c r="J53" s="145"/>
      <c r="K53" s="146"/>
      <c r="L53" s="101"/>
      <c r="M53" s="102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8.0" customHeight="1">
      <c r="A54" s="113"/>
      <c r="B54" s="88" t="s">
        <v>124</v>
      </c>
      <c r="C54" s="90"/>
      <c r="D54" s="88" t="s">
        <v>61</v>
      </c>
      <c r="E54" s="119"/>
      <c r="F54" s="92">
        <v>46048.0</v>
      </c>
      <c r="G54" s="65" t="s">
        <v>34</v>
      </c>
      <c r="H54" s="69">
        <v>3912.8</v>
      </c>
      <c r="I54" s="69">
        <v>3949.19</v>
      </c>
      <c r="J54" s="98">
        <v>46056.0</v>
      </c>
      <c r="K54" s="78" t="s">
        <v>38</v>
      </c>
      <c r="L54" s="101"/>
      <c r="M54" s="102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8.0" customHeight="1">
      <c r="A55" s="113" t="s">
        <v>125</v>
      </c>
      <c r="B55" s="88" t="s">
        <v>126</v>
      </c>
      <c r="C55" s="90"/>
      <c r="D55" s="88" t="s">
        <v>73</v>
      </c>
      <c r="E55" s="119"/>
      <c r="F55" s="92">
        <v>46048.0</v>
      </c>
      <c r="G55" s="65" t="s">
        <v>34</v>
      </c>
      <c r="H55" s="69">
        <v>2909.18</v>
      </c>
      <c r="I55" s="69">
        <v>3026.9</v>
      </c>
      <c r="J55" s="98">
        <v>46057.0</v>
      </c>
      <c r="K55" s="78" t="s">
        <v>38</v>
      </c>
      <c r="L55" s="101"/>
      <c r="M55" s="102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8.0" customHeight="1">
      <c r="A56" s="113" t="s">
        <v>127</v>
      </c>
      <c r="B56" s="88" t="s">
        <v>128</v>
      </c>
      <c r="C56" s="90"/>
      <c r="D56" s="88" t="s">
        <v>73</v>
      </c>
      <c r="E56" s="119"/>
      <c r="F56" s="92">
        <v>46048.0</v>
      </c>
      <c r="G56" s="65" t="s">
        <v>34</v>
      </c>
      <c r="H56" s="69">
        <v>1325.31</v>
      </c>
      <c r="I56" s="69">
        <v>1414.18</v>
      </c>
      <c r="J56" s="98">
        <v>46057.0</v>
      </c>
      <c r="K56" s="78" t="s">
        <v>38</v>
      </c>
      <c r="L56" s="101"/>
      <c r="M56" s="102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8.0" customHeight="1">
      <c r="A57" s="113"/>
      <c r="B57" s="88" t="s">
        <v>129</v>
      </c>
      <c r="C57" s="90"/>
      <c r="D57" s="88" t="s">
        <v>66</v>
      </c>
      <c r="E57" s="119"/>
      <c r="F57" s="92">
        <v>46050.0</v>
      </c>
      <c r="G57" s="65" t="s">
        <v>34</v>
      </c>
      <c r="H57" s="69">
        <v>1279.0</v>
      </c>
      <c r="I57" s="69">
        <v>1291.02</v>
      </c>
      <c r="J57" s="98">
        <v>46058.0</v>
      </c>
      <c r="K57" s="78" t="s">
        <v>38</v>
      </c>
      <c r="L57" s="101"/>
      <c r="M57" s="102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8.0" customHeight="1">
      <c r="A58" s="113" t="s">
        <v>130</v>
      </c>
      <c r="B58" s="88" t="s">
        <v>117</v>
      </c>
      <c r="C58" s="90"/>
      <c r="D58" s="88" t="s">
        <v>113</v>
      </c>
      <c r="E58" s="92">
        <v>46015.0</v>
      </c>
      <c r="F58" s="92">
        <v>46050.0</v>
      </c>
      <c r="G58" s="65" t="s">
        <v>34</v>
      </c>
      <c r="H58" s="69">
        <v>2157.64</v>
      </c>
      <c r="I58" s="69">
        <v>2157.64</v>
      </c>
      <c r="J58" s="98">
        <v>46072.0</v>
      </c>
      <c r="K58" s="78" t="s">
        <v>38</v>
      </c>
      <c r="L58" s="101"/>
      <c r="M58" s="102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8.0" customHeight="1">
      <c r="A59" s="113"/>
      <c r="B59" s="88" t="s">
        <v>131</v>
      </c>
      <c r="C59" s="90"/>
      <c r="D59" s="88" t="s">
        <v>61</v>
      </c>
      <c r="E59" s="119"/>
      <c r="F59" s="92">
        <v>46051.0</v>
      </c>
      <c r="G59" s="65" t="s">
        <v>34</v>
      </c>
      <c r="H59" s="69">
        <v>3912.8</v>
      </c>
      <c r="I59" s="69">
        <v>3944.63</v>
      </c>
      <c r="J59" s="98">
        <v>46058.0</v>
      </c>
      <c r="K59" s="78" t="s">
        <v>38</v>
      </c>
      <c r="L59" s="101"/>
      <c r="M59" s="102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8.0" customHeight="1">
      <c r="A60" s="113"/>
      <c r="B60" s="88" t="s">
        <v>132</v>
      </c>
      <c r="C60" s="90"/>
      <c r="D60" s="88" t="s">
        <v>66</v>
      </c>
      <c r="E60" s="119"/>
      <c r="F60" s="92">
        <v>46051.0</v>
      </c>
      <c r="G60" s="65" t="s">
        <v>34</v>
      </c>
      <c r="H60" s="69">
        <v>1553.72</v>
      </c>
      <c r="I60" s="69">
        <v>1568.32</v>
      </c>
      <c r="J60" s="98">
        <v>46059.0</v>
      </c>
      <c r="K60" s="78" t="s">
        <v>38</v>
      </c>
      <c r="L60" s="101"/>
      <c r="M60" s="102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8.0" customHeight="1">
      <c r="A61" s="113" t="s">
        <v>133</v>
      </c>
      <c r="B61" s="88" t="s">
        <v>134</v>
      </c>
      <c r="C61" s="90"/>
      <c r="D61" s="88" t="s">
        <v>73</v>
      </c>
      <c r="E61" s="119"/>
      <c r="F61" s="92">
        <v>46051.0</v>
      </c>
      <c r="G61" s="65" t="s">
        <v>34</v>
      </c>
      <c r="H61" s="69">
        <v>2545.14</v>
      </c>
      <c r="I61" s="69">
        <v>2568.81</v>
      </c>
      <c r="J61" s="98">
        <v>46059.0</v>
      </c>
      <c r="K61" s="78" t="s">
        <v>38</v>
      </c>
      <c r="L61" s="101"/>
      <c r="M61" s="102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8.0" customHeight="1">
      <c r="A62" s="113" t="s">
        <v>135</v>
      </c>
      <c r="B62" s="88" t="s">
        <v>136</v>
      </c>
      <c r="C62" s="90"/>
      <c r="D62" s="88" t="s">
        <v>73</v>
      </c>
      <c r="E62" s="92">
        <v>45992.0</v>
      </c>
      <c r="F62" s="92">
        <v>46052.0</v>
      </c>
      <c r="G62" s="65" t="s">
        <v>34</v>
      </c>
      <c r="H62" s="69">
        <v>3704.39</v>
      </c>
      <c r="I62" s="69">
        <v>3747.48</v>
      </c>
      <c r="J62" s="98">
        <v>46062.0</v>
      </c>
      <c r="K62" s="78" t="s">
        <v>38</v>
      </c>
      <c r="L62" s="101"/>
      <c r="M62" s="102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8.0" customHeight="1">
      <c r="A63" s="113"/>
      <c r="B63" s="88" t="s">
        <v>137</v>
      </c>
      <c r="C63" s="90"/>
      <c r="D63" s="88" t="s">
        <v>66</v>
      </c>
      <c r="E63" s="119"/>
      <c r="F63" s="92">
        <v>46053.0</v>
      </c>
      <c r="G63" s="65" t="s">
        <v>34</v>
      </c>
      <c r="H63" s="69">
        <v>2157.19</v>
      </c>
      <c r="I63" s="69">
        <v>2180.0</v>
      </c>
      <c r="J63" s="98">
        <v>46062.0</v>
      </c>
      <c r="K63" s="78" t="s">
        <v>38</v>
      </c>
      <c r="L63" s="101"/>
      <c r="M63" s="102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18.0" customHeight="1">
      <c r="A64" s="113" t="s">
        <v>138</v>
      </c>
      <c r="B64" s="88" t="s">
        <v>139</v>
      </c>
      <c r="C64" s="90"/>
      <c r="D64" s="88" t="s">
        <v>66</v>
      </c>
      <c r="E64" s="92">
        <v>46003.0</v>
      </c>
      <c r="F64" s="92">
        <v>46053.0</v>
      </c>
      <c r="G64" s="65" t="s">
        <v>34</v>
      </c>
      <c r="H64" s="69">
        <v>1351.06</v>
      </c>
      <c r="I64" s="69">
        <v>1441.78</v>
      </c>
      <c r="J64" s="98">
        <v>46063.0</v>
      </c>
      <c r="K64" s="78" t="s">
        <v>38</v>
      </c>
      <c r="L64" s="101"/>
      <c r="M64" s="102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18.0" customHeight="1">
      <c r="A65" s="113" t="s">
        <v>140</v>
      </c>
      <c r="B65" s="88" t="s">
        <v>141</v>
      </c>
      <c r="C65" s="90"/>
      <c r="D65" s="88" t="s">
        <v>66</v>
      </c>
      <c r="E65" s="92">
        <v>46014.0</v>
      </c>
      <c r="F65" s="92">
        <v>46054.0</v>
      </c>
      <c r="G65" s="65" t="s">
        <v>34</v>
      </c>
      <c r="H65" s="69">
        <v>1062.83</v>
      </c>
      <c r="I65" s="69">
        <v>1148.95</v>
      </c>
      <c r="J65" s="98">
        <v>46063.0</v>
      </c>
      <c r="K65" s="78" t="s">
        <v>38</v>
      </c>
      <c r="L65" s="101"/>
      <c r="M65" s="102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18.0" customHeight="1">
      <c r="A66" s="86" t="s">
        <v>142</v>
      </c>
      <c r="B66" s="150" t="s">
        <v>143</v>
      </c>
      <c r="C66" s="90"/>
      <c r="D66" s="150" t="s">
        <v>61</v>
      </c>
      <c r="E66" s="119">
        <v>45994.0</v>
      </c>
      <c r="F66" s="119">
        <v>46054.0</v>
      </c>
      <c r="G66" s="152" t="s">
        <v>34</v>
      </c>
      <c r="H66" s="116">
        <v>3400.0</v>
      </c>
      <c r="I66" s="116">
        <v>3552.5</v>
      </c>
      <c r="J66" s="98">
        <v>46141.0</v>
      </c>
      <c r="K66" s="78" t="s">
        <v>63</v>
      </c>
      <c r="L66" s="106"/>
      <c r="M66" s="102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18.0" customHeight="1">
      <c r="A67" s="113"/>
      <c r="B67" s="88" t="s">
        <v>144</v>
      </c>
      <c r="C67" s="90"/>
      <c r="D67" s="88" t="s">
        <v>66</v>
      </c>
      <c r="E67" s="92"/>
      <c r="F67" s="92">
        <v>46054.0</v>
      </c>
      <c r="G67" s="65" t="s">
        <v>34</v>
      </c>
      <c r="H67" s="69">
        <v>1553.72</v>
      </c>
      <c r="I67" s="116">
        <v>1646.62</v>
      </c>
      <c r="J67" s="98">
        <v>46065.0</v>
      </c>
      <c r="K67" s="78" t="s">
        <v>63</v>
      </c>
      <c r="L67" s="101"/>
      <c r="M67" s="102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18.0" customHeight="1">
      <c r="A68" s="113" t="s">
        <v>145</v>
      </c>
      <c r="B68" s="88" t="s">
        <v>146</v>
      </c>
      <c r="C68" s="90"/>
      <c r="D68" s="88" t="s">
        <v>73</v>
      </c>
      <c r="E68" s="92">
        <v>45993.0</v>
      </c>
      <c r="F68" s="92">
        <v>46055.0</v>
      </c>
      <c r="G68" s="65" t="s">
        <v>34</v>
      </c>
      <c r="H68" s="69">
        <v>2703.99</v>
      </c>
      <c r="I68" s="69">
        <v>2813.4</v>
      </c>
      <c r="J68" s="98">
        <v>46064.0</v>
      </c>
      <c r="K68" s="78" t="s">
        <v>38</v>
      </c>
      <c r="L68" s="101"/>
      <c r="M68" s="102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8.0" customHeight="1">
      <c r="A69" s="113" t="s">
        <v>130</v>
      </c>
      <c r="B69" s="88" t="s">
        <v>117</v>
      </c>
      <c r="C69" s="90"/>
      <c r="D69" s="88" t="s">
        <v>113</v>
      </c>
      <c r="E69" s="92">
        <v>46015.0</v>
      </c>
      <c r="F69" s="92">
        <v>46055.0</v>
      </c>
      <c r="G69" s="65" t="s">
        <v>34</v>
      </c>
      <c r="H69" s="69">
        <v>2157.64</v>
      </c>
      <c r="I69" s="69">
        <v>2157.64</v>
      </c>
      <c r="J69" s="98">
        <v>46072.0</v>
      </c>
      <c r="K69" s="78" t="s">
        <v>38</v>
      </c>
      <c r="L69" s="101"/>
      <c r="M69" s="102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8.0" customHeight="1">
      <c r="A70" s="113" t="s">
        <v>142</v>
      </c>
      <c r="B70" s="88" t="s">
        <v>147</v>
      </c>
      <c r="C70" s="90"/>
      <c r="D70" s="88" t="s">
        <v>61</v>
      </c>
      <c r="E70" s="92">
        <v>45994.0</v>
      </c>
      <c r="F70" s="92">
        <v>46057.0</v>
      </c>
      <c r="G70" s="65" t="s">
        <v>34</v>
      </c>
      <c r="H70" s="69">
        <v>3400.0</v>
      </c>
      <c r="I70" s="69">
        <v>3427.65</v>
      </c>
      <c r="J70" s="98">
        <v>46063.0</v>
      </c>
      <c r="K70" s="78" t="s">
        <v>38</v>
      </c>
      <c r="L70" s="101"/>
      <c r="M70" s="102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8.0" customHeight="1">
      <c r="A71" s="113"/>
      <c r="B71" s="88" t="s">
        <v>148</v>
      </c>
      <c r="C71" s="90"/>
      <c r="D71" s="88" t="s">
        <v>66</v>
      </c>
      <c r="E71" s="119"/>
      <c r="F71" s="92">
        <v>46058.0</v>
      </c>
      <c r="G71" s="65" t="s">
        <v>34</v>
      </c>
      <c r="H71" s="69">
        <v>2157.2</v>
      </c>
      <c r="I71" s="69">
        <v>2174.93</v>
      </c>
      <c r="J71" s="98">
        <v>46065.0</v>
      </c>
      <c r="K71" s="78" t="s">
        <v>38</v>
      </c>
      <c r="L71" s="101"/>
      <c r="M71" s="102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8.0" customHeight="1">
      <c r="A72" s="113" t="s">
        <v>149</v>
      </c>
      <c r="B72" s="88" t="s">
        <v>150</v>
      </c>
      <c r="C72" s="90"/>
      <c r="D72" s="88" t="s">
        <v>73</v>
      </c>
      <c r="E72" s="92">
        <v>45994.0</v>
      </c>
      <c r="F72" s="92">
        <v>46058.0</v>
      </c>
      <c r="G72" s="65" t="s">
        <v>34</v>
      </c>
      <c r="H72" s="69">
        <v>4968.66</v>
      </c>
      <c r="I72" s="69">
        <v>5014.87</v>
      </c>
      <c r="J72" s="98">
        <v>46066.0</v>
      </c>
      <c r="K72" s="78" t="s">
        <v>38</v>
      </c>
      <c r="L72" s="101"/>
      <c r="M72" s="102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8.0" customHeight="1">
      <c r="A73" s="113"/>
      <c r="B73" s="88" t="s">
        <v>151</v>
      </c>
      <c r="C73" s="90"/>
      <c r="D73" s="88" t="s">
        <v>61</v>
      </c>
      <c r="E73" s="119"/>
      <c r="F73" s="92">
        <v>46059.0</v>
      </c>
      <c r="G73" s="65" t="s">
        <v>34</v>
      </c>
      <c r="H73" s="69">
        <v>3710.17</v>
      </c>
      <c r="I73" s="69">
        <v>3744.67</v>
      </c>
      <c r="J73" s="98">
        <v>46067.0</v>
      </c>
      <c r="K73" s="78" t="s">
        <v>38</v>
      </c>
      <c r="L73" s="101"/>
      <c r="M73" s="102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8.0" customHeight="1">
      <c r="A74" s="113" t="s">
        <v>130</v>
      </c>
      <c r="B74" s="88" t="s">
        <v>117</v>
      </c>
      <c r="C74" s="90"/>
      <c r="D74" s="88" t="s">
        <v>113</v>
      </c>
      <c r="E74" s="92">
        <v>46015.0</v>
      </c>
      <c r="F74" s="92">
        <v>46060.0</v>
      </c>
      <c r="G74" s="65" t="s">
        <v>34</v>
      </c>
      <c r="H74" s="69">
        <v>2157.64</v>
      </c>
      <c r="I74" s="69">
        <v>2157.64</v>
      </c>
      <c r="J74" s="98">
        <v>46072.0</v>
      </c>
      <c r="K74" s="78" t="s">
        <v>38</v>
      </c>
      <c r="L74" s="101"/>
      <c r="M74" s="102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8.0" customHeight="1">
      <c r="A75" s="113"/>
      <c r="B75" s="88" t="s">
        <v>152</v>
      </c>
      <c r="C75" s="90"/>
      <c r="D75" s="88" t="s">
        <v>66</v>
      </c>
      <c r="E75" s="119"/>
      <c r="F75" s="92">
        <v>46061.0</v>
      </c>
      <c r="G75" s="65" t="s">
        <v>34</v>
      </c>
      <c r="H75" s="69">
        <v>1553.71</v>
      </c>
      <c r="I75" s="69">
        <v>1568.31</v>
      </c>
      <c r="J75" s="98">
        <v>46069.0</v>
      </c>
      <c r="K75" s="78" t="s">
        <v>38</v>
      </c>
      <c r="L75" s="101"/>
      <c r="M75" s="102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18.0" customHeight="1">
      <c r="A76" s="113"/>
      <c r="B76" s="88" t="s">
        <v>153</v>
      </c>
      <c r="C76" s="90"/>
      <c r="D76" s="88" t="s">
        <v>66</v>
      </c>
      <c r="E76" s="119"/>
      <c r="F76" s="92">
        <v>46061.0</v>
      </c>
      <c r="G76" s="65" t="s">
        <v>34</v>
      </c>
      <c r="H76" s="69">
        <v>1134.89</v>
      </c>
      <c r="I76" s="69">
        <v>1145.55</v>
      </c>
      <c r="J76" s="98">
        <v>46069.0</v>
      </c>
      <c r="K76" s="78" t="s">
        <v>38</v>
      </c>
      <c r="L76" s="101"/>
      <c r="M76" s="102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18.0" customHeight="1">
      <c r="A77" s="113"/>
      <c r="B77" s="88" t="s">
        <v>154</v>
      </c>
      <c r="C77" s="90"/>
      <c r="D77" s="88" t="s">
        <v>61</v>
      </c>
      <c r="E77" s="119"/>
      <c r="F77" s="92">
        <v>46062.0</v>
      </c>
      <c r="G77" s="65" t="s">
        <v>34</v>
      </c>
      <c r="H77" s="69">
        <v>3710.17</v>
      </c>
      <c r="I77" s="69">
        <v>3740.35</v>
      </c>
      <c r="J77" s="98">
        <v>46069.0</v>
      </c>
      <c r="K77" s="78" t="s">
        <v>38</v>
      </c>
      <c r="L77" s="101"/>
      <c r="M77" s="102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18.0" customHeight="1">
      <c r="A78" s="113" t="s">
        <v>155</v>
      </c>
      <c r="B78" s="88" t="s">
        <v>156</v>
      </c>
      <c r="C78" s="90"/>
      <c r="D78" s="88" t="s">
        <v>73</v>
      </c>
      <c r="E78" s="92">
        <v>46001.0</v>
      </c>
      <c r="F78" s="92">
        <v>46062.0</v>
      </c>
      <c r="G78" s="65" t="s">
        <v>34</v>
      </c>
      <c r="H78" s="69">
        <v>1883.7</v>
      </c>
      <c r="I78" s="69">
        <v>1901.22</v>
      </c>
      <c r="J78" s="98">
        <v>46070.0</v>
      </c>
      <c r="K78" s="78" t="s">
        <v>38</v>
      </c>
      <c r="L78" s="101"/>
      <c r="M78" s="102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18.0" customHeight="1">
      <c r="A79" s="113" t="s">
        <v>157</v>
      </c>
      <c r="B79" s="88" t="s">
        <v>158</v>
      </c>
      <c r="C79" s="90"/>
      <c r="D79" s="88" t="s">
        <v>73</v>
      </c>
      <c r="E79" s="92">
        <v>46001.0</v>
      </c>
      <c r="F79" s="92">
        <v>46062.0</v>
      </c>
      <c r="G79" s="65" t="s">
        <v>34</v>
      </c>
      <c r="H79" s="69">
        <v>1167.89</v>
      </c>
      <c r="I79" s="69">
        <v>1178.75</v>
      </c>
      <c r="J79" s="98">
        <v>46070.0</v>
      </c>
      <c r="K79" s="78" t="s">
        <v>38</v>
      </c>
      <c r="L79" s="101"/>
      <c r="M79" s="102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18.0" customHeight="1">
      <c r="A80" s="113" t="s">
        <v>159</v>
      </c>
      <c r="B80" s="88" t="s">
        <v>160</v>
      </c>
      <c r="C80" s="90"/>
      <c r="D80" s="88" t="s">
        <v>73</v>
      </c>
      <c r="E80" s="92">
        <v>46002.0</v>
      </c>
      <c r="F80" s="92">
        <v>46062.0</v>
      </c>
      <c r="G80" s="65" t="s">
        <v>34</v>
      </c>
      <c r="H80" s="69">
        <v>2159.52</v>
      </c>
      <c r="I80" s="69">
        <v>2179.6</v>
      </c>
      <c r="J80" s="98">
        <v>46070.0</v>
      </c>
      <c r="K80" s="78" t="s">
        <v>38</v>
      </c>
      <c r="L80" s="101"/>
      <c r="M80" s="102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18.0" customHeight="1">
      <c r="A81" s="134"/>
      <c r="B81" s="135" t="s">
        <v>31</v>
      </c>
      <c r="C81" s="136"/>
      <c r="D81" s="137" t="s">
        <v>32</v>
      </c>
      <c r="E81" s="138"/>
      <c r="F81" s="139">
        <v>46063.0</v>
      </c>
      <c r="G81" s="140" t="s">
        <v>34</v>
      </c>
      <c r="H81" s="143">
        <f>3605.71-1560</f>
        <v>2045.71</v>
      </c>
      <c r="I81" s="155"/>
      <c r="J81" s="145"/>
      <c r="K81" s="146"/>
      <c r="L81" s="101"/>
      <c r="M81" s="102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18.0" customHeight="1">
      <c r="A82" s="113" t="s">
        <v>138</v>
      </c>
      <c r="B82" s="88" t="s">
        <v>161</v>
      </c>
      <c r="C82" s="90"/>
      <c r="D82" s="88" t="s">
        <v>66</v>
      </c>
      <c r="E82" s="92">
        <v>46003.0</v>
      </c>
      <c r="F82" s="92">
        <v>46063.0</v>
      </c>
      <c r="G82" s="65" t="s">
        <v>34</v>
      </c>
      <c r="H82" s="69">
        <v>1351.06</v>
      </c>
      <c r="I82" s="69">
        <v>1363.62</v>
      </c>
      <c r="J82" s="98">
        <v>46071.0</v>
      </c>
      <c r="K82" s="78" t="s">
        <v>38</v>
      </c>
      <c r="L82" s="101"/>
      <c r="M82" s="102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18.0" customHeight="1">
      <c r="A83" s="113"/>
      <c r="B83" s="88" t="s">
        <v>162</v>
      </c>
      <c r="C83" s="90"/>
      <c r="D83" s="88" t="s">
        <v>66</v>
      </c>
      <c r="E83" s="119"/>
      <c r="F83" s="92">
        <v>46063.0</v>
      </c>
      <c r="G83" s="65" t="s">
        <v>34</v>
      </c>
      <c r="H83" s="69">
        <v>1279.0</v>
      </c>
      <c r="I83" s="69">
        <v>1291.02</v>
      </c>
      <c r="J83" s="98">
        <v>46071.0</v>
      </c>
      <c r="K83" s="78" t="s">
        <v>38</v>
      </c>
      <c r="L83" s="101"/>
      <c r="M83" s="102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18.0" customHeight="1">
      <c r="A84" s="113" t="s">
        <v>163</v>
      </c>
      <c r="B84" s="88" t="s">
        <v>164</v>
      </c>
      <c r="C84" s="90"/>
      <c r="D84" s="88" t="s">
        <v>73</v>
      </c>
      <c r="E84" s="92">
        <v>46003.0</v>
      </c>
      <c r="F84" s="92">
        <v>46063.0</v>
      </c>
      <c r="G84" s="65" t="s">
        <v>34</v>
      </c>
      <c r="H84" s="69">
        <v>2279.29</v>
      </c>
      <c r="I84" s="69">
        <v>2300.49</v>
      </c>
      <c r="J84" s="98">
        <v>46071.0</v>
      </c>
      <c r="K84" s="78" t="s">
        <v>38</v>
      </c>
      <c r="L84" s="101"/>
      <c r="M84" s="102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18.0" customHeight="1">
      <c r="A85" s="113"/>
      <c r="B85" s="88" t="s">
        <v>165</v>
      </c>
      <c r="C85" s="90"/>
      <c r="D85" s="88" t="s">
        <v>61</v>
      </c>
      <c r="E85" s="119"/>
      <c r="F85" s="92">
        <v>46065.0</v>
      </c>
      <c r="G85" s="65" t="s">
        <v>34</v>
      </c>
      <c r="H85" s="69">
        <v>3710.17</v>
      </c>
      <c r="I85" s="69">
        <v>3740.35</v>
      </c>
      <c r="J85" s="98">
        <v>46072.0</v>
      </c>
      <c r="K85" s="78" t="s">
        <v>38</v>
      </c>
      <c r="L85" s="101"/>
      <c r="M85" s="102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18.0" customHeight="1">
      <c r="A86" s="113" t="s">
        <v>130</v>
      </c>
      <c r="B86" s="88" t="s">
        <v>166</v>
      </c>
      <c r="C86" s="90"/>
      <c r="D86" s="88" t="s">
        <v>113</v>
      </c>
      <c r="E86" s="92">
        <v>46015.0</v>
      </c>
      <c r="F86" s="92">
        <v>46065.0</v>
      </c>
      <c r="G86" s="65" t="s">
        <v>34</v>
      </c>
      <c r="H86" s="69">
        <v>2157.64</v>
      </c>
      <c r="I86" s="69">
        <v>2175.19</v>
      </c>
      <c r="J86" s="98">
        <v>46072.0</v>
      </c>
      <c r="K86" s="78" t="s">
        <v>38</v>
      </c>
      <c r="L86" s="101"/>
      <c r="M86" s="102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8.0" customHeight="1">
      <c r="A87" s="113"/>
      <c r="B87" s="88" t="s">
        <v>167</v>
      </c>
      <c r="C87" s="90"/>
      <c r="D87" s="88" t="s">
        <v>61</v>
      </c>
      <c r="E87" s="119"/>
      <c r="F87" s="92">
        <v>46068.0</v>
      </c>
      <c r="G87" s="65" t="s">
        <v>34</v>
      </c>
      <c r="H87" s="69">
        <v>3710.17</v>
      </c>
      <c r="I87" s="69">
        <v>3731.71</v>
      </c>
      <c r="J87" s="98">
        <v>46073.0</v>
      </c>
      <c r="K87" s="78" t="s">
        <v>38</v>
      </c>
      <c r="L87" s="101"/>
      <c r="M87" s="102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8.0" customHeight="1">
      <c r="A88" s="113" t="s">
        <v>140</v>
      </c>
      <c r="B88" s="88" t="s">
        <v>168</v>
      </c>
      <c r="C88" s="90"/>
      <c r="D88" s="88" t="s">
        <v>66</v>
      </c>
      <c r="E88" s="92">
        <v>46014.0</v>
      </c>
      <c r="F88" s="92">
        <v>46069.0</v>
      </c>
      <c r="G88" s="65" t="s">
        <v>34</v>
      </c>
      <c r="H88" s="69">
        <v>1062.83</v>
      </c>
      <c r="I88" s="69">
        <v>1067.76</v>
      </c>
      <c r="J88" s="98">
        <v>46073.0</v>
      </c>
      <c r="K88" s="78" t="s">
        <v>38</v>
      </c>
      <c r="L88" s="101"/>
      <c r="M88" s="102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8.0" customHeight="1">
      <c r="A89" s="113" t="s">
        <v>169</v>
      </c>
      <c r="B89" s="88" t="s">
        <v>170</v>
      </c>
      <c r="C89" s="90"/>
      <c r="D89" s="88" t="s">
        <v>73</v>
      </c>
      <c r="E89" s="92">
        <v>46007.0</v>
      </c>
      <c r="F89" s="92">
        <v>46069.0</v>
      </c>
      <c r="G89" s="65" t="s">
        <v>34</v>
      </c>
      <c r="H89" s="69">
        <v>258.17</v>
      </c>
      <c r="I89" s="69">
        <v>259.67</v>
      </c>
      <c r="J89" s="98">
        <v>46074.0</v>
      </c>
      <c r="K89" s="78" t="s">
        <v>38</v>
      </c>
      <c r="L89" s="101"/>
      <c r="M89" s="102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8.0" customHeight="1">
      <c r="A90" s="113" t="s">
        <v>171</v>
      </c>
      <c r="B90" s="88" t="s">
        <v>172</v>
      </c>
      <c r="C90" s="90"/>
      <c r="D90" s="88" t="s">
        <v>73</v>
      </c>
      <c r="E90" s="92">
        <v>46007.0</v>
      </c>
      <c r="F90" s="92">
        <v>46069.0</v>
      </c>
      <c r="G90" s="65" t="s">
        <v>34</v>
      </c>
      <c r="H90" s="69">
        <v>1498.52</v>
      </c>
      <c r="I90" s="69">
        <v>1510.71</v>
      </c>
      <c r="J90" s="98">
        <v>46076.0</v>
      </c>
      <c r="K90" s="78" t="s">
        <v>38</v>
      </c>
      <c r="L90" s="101"/>
      <c r="M90" s="102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8.0" customHeight="1">
      <c r="A91" s="113" t="s">
        <v>173</v>
      </c>
      <c r="B91" s="88" t="s">
        <v>174</v>
      </c>
      <c r="C91" s="90"/>
      <c r="D91" s="88" t="s">
        <v>73</v>
      </c>
      <c r="E91" s="92">
        <v>46008.0</v>
      </c>
      <c r="F91" s="92">
        <v>46069.0</v>
      </c>
      <c r="G91" s="65" t="s">
        <v>34</v>
      </c>
      <c r="H91" s="69">
        <v>1628.52</v>
      </c>
      <c r="I91" s="69">
        <v>1641.77</v>
      </c>
      <c r="J91" s="98">
        <v>46076.0</v>
      </c>
      <c r="K91" s="78" t="s">
        <v>38</v>
      </c>
      <c r="L91" s="101"/>
      <c r="M91" s="102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8.0" customHeight="1">
      <c r="A92" s="113"/>
      <c r="B92" s="88" t="s">
        <v>175</v>
      </c>
      <c r="C92" s="90"/>
      <c r="D92" s="88" t="s">
        <v>61</v>
      </c>
      <c r="E92" s="119"/>
      <c r="F92" s="92">
        <v>46070.0</v>
      </c>
      <c r="G92" s="65" t="s">
        <v>34</v>
      </c>
      <c r="H92" s="69">
        <v>3710.16</v>
      </c>
      <c r="I92" s="69">
        <v>3740.34</v>
      </c>
      <c r="J92" s="98">
        <v>46077.0</v>
      </c>
      <c r="K92" s="78" t="s">
        <v>38</v>
      </c>
      <c r="L92" s="101"/>
      <c r="M92" s="102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8.0" customHeight="1">
      <c r="A93" s="113" t="s">
        <v>130</v>
      </c>
      <c r="B93" s="88" t="s">
        <v>176</v>
      </c>
      <c r="C93" s="90"/>
      <c r="D93" s="88" t="s">
        <v>113</v>
      </c>
      <c r="E93" s="92">
        <v>46015.0</v>
      </c>
      <c r="F93" s="92">
        <v>46070.0</v>
      </c>
      <c r="G93" s="65" t="s">
        <v>34</v>
      </c>
      <c r="H93" s="69">
        <v>2157.64</v>
      </c>
      <c r="I93" s="69">
        <v>2175.19</v>
      </c>
      <c r="J93" s="98">
        <v>46077.0</v>
      </c>
      <c r="K93" s="78" t="s">
        <v>38</v>
      </c>
      <c r="L93" s="101"/>
      <c r="M93" s="102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8.0" customHeight="1">
      <c r="A94" s="113"/>
      <c r="B94" s="88" t="s">
        <v>177</v>
      </c>
      <c r="C94" s="90"/>
      <c r="D94" s="88" t="s">
        <v>66</v>
      </c>
      <c r="E94" s="119"/>
      <c r="F94" s="92">
        <v>46071.0</v>
      </c>
      <c r="G94" s="65" t="s">
        <v>34</v>
      </c>
      <c r="H94" s="69">
        <v>1279.01</v>
      </c>
      <c r="I94" s="69">
        <v>1289.52</v>
      </c>
      <c r="J94" s="98">
        <v>46078.0</v>
      </c>
      <c r="K94" s="78" t="s">
        <v>38</v>
      </c>
      <c r="L94" s="101"/>
      <c r="M94" s="102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8.0" customHeight="1">
      <c r="A95" s="113" t="s">
        <v>178</v>
      </c>
      <c r="B95" s="88">
        <v>1.0360106E7</v>
      </c>
      <c r="C95" s="90"/>
      <c r="D95" s="88" t="s">
        <v>66</v>
      </c>
      <c r="E95" s="92">
        <v>46055.0</v>
      </c>
      <c r="F95" s="92">
        <v>46071.0</v>
      </c>
      <c r="G95" s="65" t="s">
        <v>179</v>
      </c>
      <c r="H95" s="69">
        <v>2251.76</v>
      </c>
      <c r="I95" s="69">
        <v>2273.66</v>
      </c>
      <c r="J95" s="98">
        <v>46078.0</v>
      </c>
      <c r="K95" s="78" t="s">
        <v>180</v>
      </c>
      <c r="L95" s="101"/>
      <c r="M95" s="102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8.0" customHeight="1">
      <c r="A96" s="113" t="s">
        <v>181</v>
      </c>
      <c r="B96" s="88" t="s">
        <v>182</v>
      </c>
      <c r="C96" s="90"/>
      <c r="D96" s="88" t="s">
        <v>73</v>
      </c>
      <c r="E96" s="92">
        <v>46009.0</v>
      </c>
      <c r="F96" s="92">
        <v>46072.0</v>
      </c>
      <c r="G96" s="65" t="s">
        <v>34</v>
      </c>
      <c r="H96" s="69">
        <v>1110.98</v>
      </c>
      <c r="I96" s="69">
        <v>1118.72</v>
      </c>
      <c r="J96" s="98">
        <v>46078.0</v>
      </c>
      <c r="K96" s="78" t="s">
        <v>38</v>
      </c>
      <c r="L96" s="101"/>
      <c r="M96" s="102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8.0" customHeight="1">
      <c r="A97" s="134"/>
      <c r="B97" s="135" t="s">
        <v>31</v>
      </c>
      <c r="C97" s="136"/>
      <c r="D97" s="137" t="s">
        <v>32</v>
      </c>
      <c r="E97" s="138"/>
      <c r="F97" s="139">
        <v>46073.0</v>
      </c>
      <c r="G97" s="140" t="s">
        <v>34</v>
      </c>
      <c r="H97" s="143">
        <v>3605.71</v>
      </c>
      <c r="I97" s="155"/>
      <c r="J97" s="145"/>
      <c r="K97" s="146"/>
      <c r="L97" s="101"/>
      <c r="M97" s="102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8.0" customHeight="1">
      <c r="A98" s="113"/>
      <c r="B98" s="88" t="s">
        <v>183</v>
      </c>
      <c r="C98" s="90"/>
      <c r="D98" s="88" t="s">
        <v>61</v>
      </c>
      <c r="E98" s="119"/>
      <c r="F98" s="92">
        <v>46073.0</v>
      </c>
      <c r="G98" s="65" t="s">
        <v>34</v>
      </c>
      <c r="H98" s="69">
        <v>3710.16</v>
      </c>
      <c r="I98" s="69">
        <v>3740.34</v>
      </c>
      <c r="J98" s="98">
        <v>46080.0</v>
      </c>
      <c r="K98" s="78" t="s">
        <v>38</v>
      </c>
      <c r="L98" s="101"/>
      <c r="M98" s="102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8.0" customHeight="1">
      <c r="A99" s="113" t="s">
        <v>138</v>
      </c>
      <c r="B99" s="88" t="s">
        <v>184</v>
      </c>
      <c r="C99" s="90"/>
      <c r="D99" s="88" t="s">
        <v>66</v>
      </c>
      <c r="E99" s="92">
        <v>46003.0</v>
      </c>
      <c r="F99" s="92">
        <v>46073.0</v>
      </c>
      <c r="G99" s="65" t="s">
        <v>34</v>
      </c>
      <c r="H99" s="69">
        <v>1351.06</v>
      </c>
      <c r="I99" s="69">
        <v>1362.05</v>
      </c>
      <c r="J99" s="98">
        <v>46080.0</v>
      </c>
      <c r="K99" s="78" t="s">
        <v>38</v>
      </c>
      <c r="L99" s="101"/>
      <c r="M99" s="102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8.0" customHeight="1">
      <c r="A100" s="113" t="s">
        <v>185</v>
      </c>
      <c r="B100" s="88" t="s">
        <v>186</v>
      </c>
      <c r="C100" s="90"/>
      <c r="D100" s="88" t="s">
        <v>73</v>
      </c>
      <c r="E100" s="92">
        <v>46010.0</v>
      </c>
      <c r="F100" s="92">
        <v>46075.0</v>
      </c>
      <c r="G100" s="65" t="s">
        <v>34</v>
      </c>
      <c r="H100" s="69">
        <v>3281.17</v>
      </c>
      <c r="I100" s="69">
        <v>3304.04</v>
      </c>
      <c r="J100" s="98">
        <v>46081.0</v>
      </c>
      <c r="K100" s="78" t="s">
        <v>38</v>
      </c>
      <c r="L100" s="101"/>
      <c r="M100" s="102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8.0" customHeight="1">
      <c r="A101" s="113" t="s">
        <v>130</v>
      </c>
      <c r="B101" s="88" t="s">
        <v>187</v>
      </c>
      <c r="C101" s="90"/>
      <c r="D101" s="88" t="s">
        <v>113</v>
      </c>
      <c r="E101" s="92">
        <v>46015.0</v>
      </c>
      <c r="F101" s="92">
        <v>46075.0</v>
      </c>
      <c r="G101" s="65" t="s">
        <v>34</v>
      </c>
      <c r="H101" s="69">
        <v>2157.65</v>
      </c>
      <c r="I101" s="69">
        <v>2172.69</v>
      </c>
      <c r="J101" s="98">
        <v>46081.0</v>
      </c>
      <c r="K101" s="78" t="s">
        <v>38</v>
      </c>
      <c r="L101" s="101"/>
      <c r="M101" s="102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8.0" customHeight="1">
      <c r="A102" s="113" t="s">
        <v>116</v>
      </c>
      <c r="B102" s="88" t="s">
        <v>188</v>
      </c>
      <c r="C102" s="90"/>
      <c r="D102" s="60" t="s">
        <v>66</v>
      </c>
      <c r="E102" s="92">
        <v>46011.0</v>
      </c>
      <c r="F102" s="92">
        <v>46076.0</v>
      </c>
      <c r="G102" s="65" t="s">
        <v>34</v>
      </c>
      <c r="H102" s="69">
        <v>1621.27</v>
      </c>
      <c r="I102" s="69">
        <v>1634.46</v>
      </c>
      <c r="J102" s="98">
        <v>46083.0</v>
      </c>
      <c r="K102" s="78" t="s">
        <v>38</v>
      </c>
      <c r="L102" s="101"/>
      <c r="M102" s="102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8.0" customHeight="1">
      <c r="A103" s="113" t="s">
        <v>189</v>
      </c>
      <c r="B103" s="88" t="s">
        <v>190</v>
      </c>
      <c r="C103" s="90"/>
      <c r="D103" s="88" t="s">
        <v>73</v>
      </c>
      <c r="E103" s="92">
        <v>46014.0</v>
      </c>
      <c r="F103" s="92">
        <v>46076.0</v>
      </c>
      <c r="G103" s="65" t="s">
        <v>34</v>
      </c>
      <c r="H103" s="69">
        <v>1793.74</v>
      </c>
      <c r="I103" s="69">
        <v>1808.33</v>
      </c>
      <c r="J103" s="98">
        <v>46083.0</v>
      </c>
      <c r="K103" s="78" t="s">
        <v>38</v>
      </c>
      <c r="L103" s="101"/>
      <c r="M103" s="102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8.0" customHeight="1">
      <c r="A104" s="113" t="s">
        <v>191</v>
      </c>
      <c r="B104" s="88">
        <v>1.0360105E7</v>
      </c>
      <c r="C104" s="90"/>
      <c r="D104" s="88" t="s">
        <v>66</v>
      </c>
      <c r="E104" s="92">
        <v>46036.0</v>
      </c>
      <c r="F104" s="92">
        <v>46076.0</v>
      </c>
      <c r="G104" s="65" t="s">
        <v>179</v>
      </c>
      <c r="H104" s="69">
        <v>1642.89</v>
      </c>
      <c r="I104" s="69">
        <v>1659.74</v>
      </c>
      <c r="J104" s="98">
        <v>46083.0</v>
      </c>
      <c r="K104" s="78" t="s">
        <v>180</v>
      </c>
      <c r="L104" s="101"/>
      <c r="M104" s="102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8.0" customHeight="1">
      <c r="A105" s="113" t="s">
        <v>192</v>
      </c>
      <c r="B105" s="88" t="s">
        <v>193</v>
      </c>
      <c r="C105" s="90"/>
      <c r="D105" s="88" t="s">
        <v>61</v>
      </c>
      <c r="E105" s="92">
        <v>46014.0</v>
      </c>
      <c r="F105" s="92">
        <v>46077.0</v>
      </c>
      <c r="G105" s="65" t="s">
        <v>34</v>
      </c>
      <c r="H105" s="69">
        <v>3710.0</v>
      </c>
      <c r="I105" s="69">
        <v>3740.18</v>
      </c>
      <c r="J105" s="98">
        <v>46084.0</v>
      </c>
      <c r="K105" s="78" t="s">
        <v>38</v>
      </c>
      <c r="L105" s="101"/>
      <c r="M105" s="102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8.0" customHeight="1">
      <c r="A106" s="113" t="s">
        <v>194</v>
      </c>
      <c r="B106" s="88" t="s">
        <v>195</v>
      </c>
      <c r="C106" s="90"/>
      <c r="D106" s="88" t="s">
        <v>61</v>
      </c>
      <c r="E106" s="92">
        <v>46017.0</v>
      </c>
      <c r="F106" s="92">
        <v>46080.0</v>
      </c>
      <c r="G106" s="65" t="s">
        <v>34</v>
      </c>
      <c r="H106" s="69">
        <v>3522.5</v>
      </c>
      <c r="I106" s="69">
        <v>3538.85</v>
      </c>
      <c r="J106" s="98">
        <v>46084.0</v>
      </c>
      <c r="K106" s="78" t="s">
        <v>38</v>
      </c>
      <c r="L106" s="101"/>
      <c r="M106" s="102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8.0" customHeight="1">
      <c r="A107" s="113" t="s">
        <v>196</v>
      </c>
      <c r="B107" s="88" t="s">
        <v>197</v>
      </c>
      <c r="C107" s="90"/>
      <c r="D107" s="88" t="s">
        <v>198</v>
      </c>
      <c r="E107" s="92">
        <v>46052.0</v>
      </c>
      <c r="F107" s="92">
        <v>46081.0</v>
      </c>
      <c r="G107" s="65" t="s">
        <v>34</v>
      </c>
      <c r="H107" s="69">
        <v>17055.0</v>
      </c>
      <c r="I107" s="69">
        <v>17094.58</v>
      </c>
      <c r="J107" s="98">
        <v>46083.0</v>
      </c>
      <c r="K107" s="78" t="s">
        <v>38</v>
      </c>
      <c r="L107" s="101"/>
      <c r="M107" s="102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8.0" customHeight="1">
      <c r="A108" s="113" t="s">
        <v>194</v>
      </c>
      <c r="B108" s="88" t="s">
        <v>199</v>
      </c>
      <c r="C108" s="90"/>
      <c r="D108" s="88" t="s">
        <v>61</v>
      </c>
      <c r="E108" s="92">
        <v>46017.0</v>
      </c>
      <c r="F108" s="92">
        <v>46083.0</v>
      </c>
      <c r="G108" s="65" t="s">
        <v>34</v>
      </c>
      <c r="H108" s="69">
        <v>3522.5</v>
      </c>
      <c r="I108" s="69">
        <v>3551.16</v>
      </c>
      <c r="J108" s="98">
        <v>46090.0</v>
      </c>
      <c r="K108" s="78" t="s">
        <v>38</v>
      </c>
      <c r="L108" s="101"/>
      <c r="M108" s="102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8.0" customHeight="1">
      <c r="A109" s="113" t="s">
        <v>138</v>
      </c>
      <c r="B109" s="88" t="s">
        <v>200</v>
      </c>
      <c r="C109" s="90"/>
      <c r="D109" s="88" t="s">
        <v>66</v>
      </c>
      <c r="E109" s="92">
        <v>46003.0</v>
      </c>
      <c r="F109" s="92">
        <v>46083.0</v>
      </c>
      <c r="G109" s="65" t="s">
        <v>34</v>
      </c>
      <c r="H109" s="69">
        <v>1351.05</v>
      </c>
      <c r="I109" s="69">
        <v>1362.04</v>
      </c>
      <c r="J109" s="98">
        <v>46090.0</v>
      </c>
      <c r="K109" s="78" t="s">
        <v>38</v>
      </c>
      <c r="L109" s="101"/>
      <c r="M109" s="102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8.0" customHeight="1">
      <c r="A110" s="113" t="s">
        <v>194</v>
      </c>
      <c r="B110" s="88" t="s">
        <v>201</v>
      </c>
      <c r="C110" s="90"/>
      <c r="D110" s="88" t="s">
        <v>61</v>
      </c>
      <c r="E110" s="92">
        <v>46017.0</v>
      </c>
      <c r="F110" s="92">
        <v>46086.0</v>
      </c>
      <c r="G110" s="65" t="s">
        <v>34</v>
      </c>
      <c r="H110" s="69">
        <v>3522.5</v>
      </c>
      <c r="I110" s="69">
        <v>3542.95</v>
      </c>
      <c r="J110" s="98">
        <v>46091.0</v>
      </c>
      <c r="K110" s="78" t="s">
        <v>38</v>
      </c>
      <c r="L110" s="101"/>
      <c r="M110" s="102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8.0" customHeight="1">
      <c r="A111" s="113" t="s">
        <v>178</v>
      </c>
      <c r="B111" s="88">
        <v>1.0360114E7</v>
      </c>
      <c r="C111" s="90"/>
      <c r="D111" s="88" t="s">
        <v>66</v>
      </c>
      <c r="E111" s="92">
        <v>46055.0</v>
      </c>
      <c r="F111" s="92">
        <v>46086.0</v>
      </c>
      <c r="G111" s="65" t="s">
        <v>179</v>
      </c>
      <c r="H111" s="69">
        <v>2251.76</v>
      </c>
      <c r="I111" s="69">
        <v>2273.65</v>
      </c>
      <c r="J111" s="98">
        <v>46093.0</v>
      </c>
      <c r="K111" s="78" t="s">
        <v>180</v>
      </c>
      <c r="L111" s="101"/>
      <c r="M111" s="102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8.0" customHeight="1">
      <c r="A112" s="86" t="s">
        <v>140</v>
      </c>
      <c r="B112" s="88" t="s">
        <v>202</v>
      </c>
      <c r="C112" s="90"/>
      <c r="D112" s="88" t="s">
        <v>66</v>
      </c>
      <c r="E112" s="92">
        <v>46014.0</v>
      </c>
      <c r="F112" s="92">
        <v>46089.0</v>
      </c>
      <c r="G112" s="65" t="s">
        <v>34</v>
      </c>
      <c r="H112" s="69">
        <v>1062.84</v>
      </c>
      <c r="I112" s="69">
        <v>1065.31</v>
      </c>
      <c r="J112" s="98">
        <v>46091.0</v>
      </c>
      <c r="K112" s="78" t="s">
        <v>38</v>
      </c>
      <c r="L112" s="101"/>
      <c r="M112" s="102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8.0" customHeight="1">
      <c r="A113" s="113" t="s">
        <v>194</v>
      </c>
      <c r="B113" s="88" t="s">
        <v>203</v>
      </c>
      <c r="C113" s="90"/>
      <c r="D113" s="88" t="s">
        <v>61</v>
      </c>
      <c r="E113" s="92">
        <v>46017.0</v>
      </c>
      <c r="F113" s="92">
        <v>46089.0</v>
      </c>
      <c r="G113" s="65" t="s">
        <v>34</v>
      </c>
      <c r="H113" s="69">
        <v>3522.5</v>
      </c>
      <c r="I113" s="69">
        <v>3542.95</v>
      </c>
      <c r="J113" s="98">
        <v>46094.0</v>
      </c>
      <c r="K113" s="78" t="s">
        <v>38</v>
      </c>
      <c r="L113" s="101"/>
      <c r="M113" s="102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18.0" customHeight="1">
      <c r="A114" s="113" t="s">
        <v>204</v>
      </c>
      <c r="B114" s="88" t="s">
        <v>205</v>
      </c>
      <c r="C114" s="90"/>
      <c r="D114" s="88" t="s">
        <v>73</v>
      </c>
      <c r="E114" s="92">
        <v>46030.0</v>
      </c>
      <c r="F114" s="92">
        <v>46090.0</v>
      </c>
      <c r="G114" s="65" t="s">
        <v>34</v>
      </c>
      <c r="H114" s="69">
        <v>923.57</v>
      </c>
      <c r="I114" s="69">
        <v>927.86</v>
      </c>
      <c r="J114" s="98">
        <v>46094.0</v>
      </c>
      <c r="K114" s="78" t="s">
        <v>38</v>
      </c>
      <c r="L114" s="101"/>
      <c r="M114" s="102"/>
      <c r="N114" s="109"/>
      <c r="O114" s="109"/>
      <c r="P114" s="109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18.0" customHeight="1">
      <c r="A115" s="134"/>
      <c r="B115" s="135" t="s">
        <v>31</v>
      </c>
      <c r="C115" s="136"/>
      <c r="D115" s="137" t="s">
        <v>32</v>
      </c>
      <c r="E115" s="138"/>
      <c r="F115" s="139">
        <v>46091.0</v>
      </c>
      <c r="G115" s="140" t="s">
        <v>34</v>
      </c>
      <c r="H115" s="143">
        <v>3605.71</v>
      </c>
      <c r="I115" s="155"/>
      <c r="J115" s="145"/>
      <c r="K115" s="146"/>
      <c r="L115" s="101"/>
      <c r="M115" s="102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18.0" customHeight="1">
      <c r="A116" s="113" t="s">
        <v>206</v>
      </c>
      <c r="B116" s="88">
        <v>1.0360111E7</v>
      </c>
      <c r="C116" s="90"/>
      <c r="D116" s="88" t="s">
        <v>66</v>
      </c>
      <c r="E116" s="92">
        <v>46055.0</v>
      </c>
      <c r="F116" s="92">
        <v>46091.0</v>
      </c>
      <c r="G116" s="65" t="s">
        <v>179</v>
      </c>
      <c r="H116" s="69">
        <v>1801.41</v>
      </c>
      <c r="I116" s="69">
        <v>1817.49</v>
      </c>
      <c r="J116" s="98">
        <v>46097.0</v>
      </c>
      <c r="K116" s="78" t="s">
        <v>180</v>
      </c>
      <c r="L116" s="101"/>
      <c r="M116" s="102"/>
      <c r="N116" s="109"/>
      <c r="O116" s="109"/>
      <c r="P116" s="109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18.0" customHeight="1">
      <c r="A117" s="86" t="s">
        <v>116</v>
      </c>
      <c r="B117" s="88" t="s">
        <v>207</v>
      </c>
      <c r="C117" s="90"/>
      <c r="D117" s="60" t="s">
        <v>66</v>
      </c>
      <c r="E117" s="92">
        <v>46011.0</v>
      </c>
      <c r="F117" s="92">
        <v>46091.0</v>
      </c>
      <c r="G117" s="65" t="s">
        <v>34</v>
      </c>
      <c r="H117" s="69">
        <v>1621.27</v>
      </c>
      <c r="I117" s="69">
        <v>1632.57</v>
      </c>
      <c r="J117" s="98">
        <v>46097.0</v>
      </c>
      <c r="K117" s="78" t="s">
        <v>38</v>
      </c>
      <c r="L117" s="101"/>
      <c r="M117" s="102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18.0" customHeight="1">
      <c r="A118" s="113" t="s">
        <v>208</v>
      </c>
      <c r="B118" s="88" t="s">
        <v>209</v>
      </c>
      <c r="C118" s="90"/>
      <c r="D118" s="88" t="s">
        <v>73</v>
      </c>
      <c r="E118" s="92">
        <v>46031.0</v>
      </c>
      <c r="F118" s="92">
        <v>46091.0</v>
      </c>
      <c r="G118" s="65" t="s">
        <v>34</v>
      </c>
      <c r="H118" s="69">
        <v>676.0</v>
      </c>
      <c r="I118" s="69">
        <v>682.72</v>
      </c>
      <c r="J118" s="98">
        <v>46097.0</v>
      </c>
      <c r="K118" s="78" t="s">
        <v>38</v>
      </c>
      <c r="L118" s="101"/>
      <c r="M118" s="102"/>
      <c r="N118" s="109"/>
      <c r="O118" s="109"/>
      <c r="P118" s="109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18.0" customHeight="1">
      <c r="A119" s="113" t="s">
        <v>210</v>
      </c>
      <c r="B119" s="88" t="s">
        <v>211</v>
      </c>
      <c r="C119" s="90"/>
      <c r="D119" s="88" t="s">
        <v>73</v>
      </c>
      <c r="E119" s="92">
        <v>46031.0</v>
      </c>
      <c r="F119" s="92">
        <v>46091.0</v>
      </c>
      <c r="G119" s="65" t="s">
        <v>34</v>
      </c>
      <c r="H119" s="69">
        <v>676.0</v>
      </c>
      <c r="I119" s="69">
        <v>681.5</v>
      </c>
      <c r="J119" s="98">
        <v>46098.0</v>
      </c>
      <c r="K119" s="78" t="s">
        <v>38</v>
      </c>
      <c r="L119" s="101"/>
      <c r="M119" s="102"/>
      <c r="N119" s="109"/>
      <c r="O119" s="109"/>
      <c r="P119" s="109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18.0" customHeight="1">
      <c r="A120" s="113" t="s">
        <v>212</v>
      </c>
      <c r="B120" s="88" t="s">
        <v>213</v>
      </c>
      <c r="C120" s="90"/>
      <c r="D120" s="88" t="s">
        <v>73</v>
      </c>
      <c r="E120" s="92">
        <v>46031.0</v>
      </c>
      <c r="F120" s="92">
        <v>46091.0</v>
      </c>
      <c r="G120" s="65" t="s">
        <v>34</v>
      </c>
      <c r="H120" s="69">
        <v>1712.43</v>
      </c>
      <c r="I120" s="69">
        <v>1726.36</v>
      </c>
      <c r="J120" s="98">
        <v>46098.0</v>
      </c>
      <c r="K120" s="78" t="s">
        <v>38</v>
      </c>
      <c r="L120" s="101"/>
      <c r="M120" s="102"/>
      <c r="N120" s="109"/>
      <c r="O120" s="109"/>
      <c r="P120" s="109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18.0" customHeight="1">
      <c r="A121" s="113" t="s">
        <v>214</v>
      </c>
      <c r="B121" s="88" t="s">
        <v>215</v>
      </c>
      <c r="C121" s="90"/>
      <c r="D121" s="88" t="s">
        <v>61</v>
      </c>
      <c r="E121" s="92">
        <v>46024.0</v>
      </c>
      <c r="F121" s="92">
        <v>46091.0</v>
      </c>
      <c r="G121" s="65" t="s">
        <v>34</v>
      </c>
      <c r="H121" s="69">
        <v>2091.67</v>
      </c>
      <c r="I121" s="69">
        <v>2108.68</v>
      </c>
      <c r="J121" s="98">
        <v>46098.0</v>
      </c>
      <c r="K121" s="78" t="s">
        <v>38</v>
      </c>
      <c r="L121" s="101"/>
      <c r="M121" s="102"/>
      <c r="N121" s="109"/>
      <c r="O121" s="109"/>
      <c r="P121" s="109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18.0" customHeight="1">
      <c r="A122" s="113" t="s">
        <v>214</v>
      </c>
      <c r="B122" s="88" t="s">
        <v>216</v>
      </c>
      <c r="C122" s="90"/>
      <c r="D122" s="88" t="s">
        <v>61</v>
      </c>
      <c r="E122" s="92">
        <v>46027.0</v>
      </c>
      <c r="F122" s="92">
        <v>46093.0</v>
      </c>
      <c r="G122" s="65" t="s">
        <v>34</v>
      </c>
      <c r="H122" s="69">
        <v>2091.67</v>
      </c>
      <c r="I122" s="69">
        <v>2108.68</v>
      </c>
      <c r="J122" s="98">
        <v>46100.0</v>
      </c>
      <c r="K122" s="78" t="s">
        <v>38</v>
      </c>
      <c r="L122" s="101"/>
      <c r="M122" s="102"/>
      <c r="N122" s="109"/>
      <c r="O122" s="109"/>
      <c r="P122" s="109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18.0" customHeight="1">
      <c r="A123" s="113" t="s">
        <v>214</v>
      </c>
      <c r="B123" s="88" t="s">
        <v>217</v>
      </c>
      <c r="C123" s="90"/>
      <c r="D123" s="88" t="s">
        <v>61</v>
      </c>
      <c r="E123" s="92">
        <v>46029.0</v>
      </c>
      <c r="F123" s="92">
        <v>46095.0</v>
      </c>
      <c r="G123" s="65" t="s">
        <v>34</v>
      </c>
      <c r="H123" s="69">
        <v>2091.67</v>
      </c>
      <c r="I123" s="69">
        <v>2103.81</v>
      </c>
      <c r="J123" s="98">
        <v>46100.0</v>
      </c>
      <c r="K123" s="78" t="s">
        <v>38</v>
      </c>
      <c r="L123" s="101"/>
      <c r="M123" s="102"/>
      <c r="N123" s="109"/>
      <c r="O123" s="109"/>
      <c r="P123" s="109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18.0" customHeight="1">
      <c r="A124" s="113" t="s">
        <v>218</v>
      </c>
      <c r="B124" s="88" t="s">
        <v>219</v>
      </c>
      <c r="C124" s="90"/>
      <c r="D124" s="88" t="s">
        <v>73</v>
      </c>
      <c r="E124" s="92">
        <v>46035.0</v>
      </c>
      <c r="F124" s="92">
        <v>46095.0</v>
      </c>
      <c r="G124" s="65" t="s">
        <v>34</v>
      </c>
      <c r="H124" s="69">
        <f>2986.59-1138.65</f>
        <v>1847.94</v>
      </c>
      <c r="I124" s="69">
        <v>1854.37</v>
      </c>
      <c r="J124" s="98">
        <v>46100.0</v>
      </c>
      <c r="K124" s="78" t="s">
        <v>38</v>
      </c>
      <c r="L124" s="101"/>
      <c r="M124" s="102"/>
      <c r="N124" s="109"/>
      <c r="O124" s="109"/>
      <c r="P124" s="109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18.0" customHeight="1">
      <c r="A125" s="113" t="s">
        <v>220</v>
      </c>
      <c r="B125" s="88" t="s">
        <v>221</v>
      </c>
      <c r="C125" s="90"/>
      <c r="D125" s="88" t="s">
        <v>73</v>
      </c>
      <c r="E125" s="92">
        <v>46035.0</v>
      </c>
      <c r="F125" s="92">
        <v>46097.0</v>
      </c>
      <c r="G125" s="65" t="s">
        <v>34</v>
      </c>
      <c r="H125" s="69">
        <v>427.8</v>
      </c>
      <c r="I125" s="69">
        <v>430.28</v>
      </c>
      <c r="J125" s="98">
        <v>46102.0</v>
      </c>
      <c r="K125" s="78" t="s">
        <v>38</v>
      </c>
      <c r="L125" s="101"/>
      <c r="M125" s="102"/>
      <c r="N125" s="109"/>
      <c r="O125" s="109"/>
      <c r="P125" s="109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8.0" customHeight="1">
      <c r="A126" s="113" t="s">
        <v>214</v>
      </c>
      <c r="B126" s="88" t="s">
        <v>222</v>
      </c>
      <c r="C126" s="90"/>
      <c r="D126" s="88" t="s">
        <v>61</v>
      </c>
      <c r="E126" s="92">
        <v>46030.0</v>
      </c>
      <c r="F126" s="92">
        <v>46097.0</v>
      </c>
      <c r="G126" s="65" t="s">
        <v>34</v>
      </c>
      <c r="H126" s="69">
        <v>2091.67</v>
      </c>
      <c r="I126" s="69">
        <v>2103.81</v>
      </c>
      <c r="J126" s="98">
        <v>46102.0</v>
      </c>
      <c r="K126" s="78" t="s">
        <v>38</v>
      </c>
      <c r="L126" s="101"/>
      <c r="M126" s="102"/>
      <c r="N126" s="109"/>
      <c r="O126" s="109"/>
      <c r="P126" s="109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8.0" customHeight="1">
      <c r="A127" s="113" t="s">
        <v>191</v>
      </c>
      <c r="B127" s="88">
        <v>1.0360107E7</v>
      </c>
      <c r="C127" s="90"/>
      <c r="D127" s="88" t="s">
        <v>66</v>
      </c>
      <c r="E127" s="92">
        <v>46036.0</v>
      </c>
      <c r="F127" s="92">
        <v>46097.0</v>
      </c>
      <c r="G127" s="65" t="s">
        <v>179</v>
      </c>
      <c r="H127" s="69">
        <v>1642.89</v>
      </c>
      <c r="I127" s="69">
        <v>1659.77</v>
      </c>
      <c r="J127" s="98">
        <v>46104.0</v>
      </c>
      <c r="K127" s="78" t="s">
        <v>180</v>
      </c>
      <c r="L127" s="101"/>
      <c r="M127" s="102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8.0" customHeight="1">
      <c r="A128" s="113" t="s">
        <v>214</v>
      </c>
      <c r="B128" s="88" t="s">
        <v>223</v>
      </c>
      <c r="C128" s="90"/>
      <c r="D128" s="88" t="s">
        <v>61</v>
      </c>
      <c r="E128" s="92">
        <v>46031.0</v>
      </c>
      <c r="F128" s="92">
        <v>46099.0</v>
      </c>
      <c r="G128" s="65" t="s">
        <v>34</v>
      </c>
      <c r="H128" s="69">
        <v>2091.67</v>
      </c>
      <c r="I128" s="69">
        <v>2103.81</v>
      </c>
      <c r="J128" s="98">
        <v>46104.0</v>
      </c>
      <c r="K128" s="78" t="s">
        <v>38</v>
      </c>
      <c r="L128" s="101"/>
      <c r="M128" s="102"/>
      <c r="N128" s="109"/>
      <c r="O128" s="109"/>
      <c r="P128" s="109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8.0" customHeight="1">
      <c r="A129" s="134"/>
      <c r="B129" s="135" t="s">
        <v>31</v>
      </c>
      <c r="C129" s="136"/>
      <c r="D129" s="137" t="s">
        <v>32</v>
      </c>
      <c r="E129" s="138"/>
      <c r="F129" s="139">
        <v>46101.0</v>
      </c>
      <c r="G129" s="140" t="s">
        <v>34</v>
      </c>
      <c r="H129" s="143">
        <v>3605.71</v>
      </c>
      <c r="I129" s="165"/>
      <c r="J129" s="145"/>
      <c r="K129" s="146"/>
      <c r="L129" s="101"/>
      <c r="M129" s="102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8.0" customHeight="1">
      <c r="A130" s="113" t="s">
        <v>178</v>
      </c>
      <c r="B130" s="88">
        <v>1.0360115E7</v>
      </c>
      <c r="C130" s="90"/>
      <c r="D130" s="88" t="s">
        <v>66</v>
      </c>
      <c r="E130" s="92">
        <v>46055.0</v>
      </c>
      <c r="F130" s="92">
        <v>46101.0</v>
      </c>
      <c r="G130" s="65" t="s">
        <v>179</v>
      </c>
      <c r="H130" s="69">
        <v>2251.76</v>
      </c>
      <c r="I130" s="88">
        <v>2268.41</v>
      </c>
      <c r="J130" s="98">
        <v>46106.0</v>
      </c>
      <c r="K130" s="78" t="s">
        <v>180</v>
      </c>
      <c r="L130" s="101"/>
      <c r="M130" s="102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8.0" customHeight="1">
      <c r="A131" s="113" t="s">
        <v>214</v>
      </c>
      <c r="B131" s="88" t="s">
        <v>224</v>
      </c>
      <c r="C131" s="90"/>
      <c r="D131" s="88" t="s">
        <v>61</v>
      </c>
      <c r="E131" s="92">
        <v>46031.0</v>
      </c>
      <c r="F131" s="92">
        <v>46101.0</v>
      </c>
      <c r="G131" s="65" t="s">
        <v>34</v>
      </c>
      <c r="H131" s="69">
        <v>2091.67</v>
      </c>
      <c r="I131" s="69">
        <v>2103.81</v>
      </c>
      <c r="J131" s="98">
        <v>46106.0</v>
      </c>
      <c r="K131" s="78" t="s">
        <v>38</v>
      </c>
      <c r="L131" s="101"/>
      <c r="M131" s="102"/>
      <c r="N131" s="109"/>
      <c r="O131" s="109"/>
      <c r="P131" s="109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8.0" customHeight="1">
      <c r="A132" s="113" t="s">
        <v>225</v>
      </c>
      <c r="B132" s="88" t="s">
        <v>226</v>
      </c>
      <c r="C132" s="90"/>
      <c r="D132" s="88" t="s">
        <v>73</v>
      </c>
      <c r="E132" s="92">
        <v>46035.0</v>
      </c>
      <c r="F132" s="92">
        <v>46101.0</v>
      </c>
      <c r="G132" s="65" t="s">
        <v>34</v>
      </c>
      <c r="H132" s="69">
        <v>4880.48</v>
      </c>
      <c r="I132" s="69">
        <v>4914.5</v>
      </c>
      <c r="J132" s="98">
        <v>46107.0</v>
      </c>
      <c r="K132" s="78" t="s">
        <v>38</v>
      </c>
      <c r="L132" s="101"/>
      <c r="M132" s="102"/>
      <c r="N132" s="109"/>
      <c r="O132" s="109"/>
      <c r="P132" s="109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8.0" customHeight="1">
      <c r="A133" s="113" t="s">
        <v>227</v>
      </c>
      <c r="B133" s="88" t="s">
        <v>228</v>
      </c>
      <c r="C133" s="90"/>
      <c r="D133" s="88" t="s">
        <v>229</v>
      </c>
      <c r="E133" s="92">
        <v>46027.0</v>
      </c>
      <c r="F133" s="92">
        <v>46102.0</v>
      </c>
      <c r="G133" s="65" t="s">
        <v>34</v>
      </c>
      <c r="H133" s="69">
        <v>2242.52</v>
      </c>
      <c r="I133" s="69">
        <v>2258.15</v>
      </c>
      <c r="J133" s="98">
        <v>46108.0</v>
      </c>
      <c r="K133" s="78" t="s">
        <v>38</v>
      </c>
      <c r="L133" s="101"/>
      <c r="M133" s="102"/>
      <c r="N133" s="109"/>
      <c r="O133" s="109">
        <v>66.0</v>
      </c>
      <c r="P133" s="109">
        <v>5.0</v>
      </c>
      <c r="Q133" s="70">
        <f>O133*P133</f>
        <v>330</v>
      </c>
      <c r="R133" s="70"/>
      <c r="S133" s="70"/>
      <c r="T133" s="70"/>
      <c r="U133" s="70"/>
      <c r="V133" s="70"/>
      <c r="W133" s="70"/>
      <c r="X133" s="70"/>
      <c r="Y133" s="70"/>
      <c r="Z133" s="70"/>
    </row>
    <row r="134" ht="18.0" customHeight="1">
      <c r="A134" s="113" t="s">
        <v>230</v>
      </c>
      <c r="B134" s="88" t="s">
        <v>231</v>
      </c>
      <c r="C134" s="90"/>
      <c r="D134" s="88" t="s">
        <v>73</v>
      </c>
      <c r="E134" s="92">
        <v>46037.0</v>
      </c>
      <c r="F134" s="92">
        <v>46103.0</v>
      </c>
      <c r="G134" s="65" t="s">
        <v>34</v>
      </c>
      <c r="H134" s="69">
        <v>1283.4</v>
      </c>
      <c r="I134" s="69">
        <v>1290.85</v>
      </c>
      <c r="J134" s="98">
        <v>46108.0</v>
      </c>
      <c r="K134" s="78" t="s">
        <v>38</v>
      </c>
      <c r="L134" s="101"/>
      <c r="M134" s="102"/>
      <c r="N134" s="109"/>
      <c r="O134" s="109"/>
      <c r="P134" s="109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8.0" customHeight="1">
      <c r="A135" s="113" t="s">
        <v>232</v>
      </c>
      <c r="B135" s="88" t="s">
        <v>233</v>
      </c>
      <c r="C135" s="90"/>
      <c r="D135" s="88" t="s">
        <v>73</v>
      </c>
      <c r="E135" s="92">
        <v>46043.0</v>
      </c>
      <c r="F135" s="92">
        <v>46104.0</v>
      </c>
      <c r="G135" s="65" t="s">
        <v>34</v>
      </c>
      <c r="H135" s="69">
        <v>1884.48</v>
      </c>
      <c r="I135" s="69">
        <v>1893.23</v>
      </c>
      <c r="J135" s="98">
        <v>46108.0</v>
      </c>
      <c r="K135" s="78" t="s">
        <v>38</v>
      </c>
      <c r="L135" s="101"/>
      <c r="M135" s="102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8.0" customHeight="1">
      <c r="A136" s="113" t="s">
        <v>234</v>
      </c>
      <c r="B136" s="88" t="s">
        <v>235</v>
      </c>
      <c r="C136" s="90"/>
      <c r="D136" s="88" t="s">
        <v>73</v>
      </c>
      <c r="E136" s="92">
        <v>46038.0</v>
      </c>
      <c r="F136" s="92">
        <v>46106.0</v>
      </c>
      <c r="G136" s="65" t="s">
        <v>34</v>
      </c>
      <c r="H136" s="69">
        <v>4854.9</v>
      </c>
      <c r="I136" s="69">
        <v>4883.09</v>
      </c>
      <c r="J136" s="98">
        <v>46111.0</v>
      </c>
      <c r="K136" s="78" t="s">
        <v>38</v>
      </c>
      <c r="L136" s="101"/>
      <c r="M136" s="102"/>
      <c r="N136" s="109"/>
      <c r="O136" s="109"/>
      <c r="P136" s="109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8.0" customHeight="1">
      <c r="A137" s="113" t="s">
        <v>236</v>
      </c>
      <c r="B137" s="88" t="s">
        <v>237</v>
      </c>
      <c r="C137" s="90"/>
      <c r="D137" s="88" t="s">
        <v>61</v>
      </c>
      <c r="E137" s="92">
        <v>46038.0</v>
      </c>
      <c r="F137" s="92">
        <v>46106.0</v>
      </c>
      <c r="G137" s="65" t="s">
        <v>34</v>
      </c>
      <c r="H137" s="69">
        <v>2000.0</v>
      </c>
      <c r="I137" s="88">
        <v>2013.94</v>
      </c>
      <c r="J137" s="98">
        <v>46112.0</v>
      </c>
      <c r="K137" s="78" t="s">
        <v>38</v>
      </c>
      <c r="L137" s="101"/>
      <c r="M137" s="102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8.0" customHeight="1">
      <c r="A138" s="113" t="s">
        <v>238</v>
      </c>
      <c r="B138" s="88" t="s">
        <v>239</v>
      </c>
      <c r="C138" s="90"/>
      <c r="D138" s="88" t="s">
        <v>113</v>
      </c>
      <c r="E138" s="92">
        <v>46076.0</v>
      </c>
      <c r="F138" s="92">
        <v>46106.0</v>
      </c>
      <c r="G138" s="65" t="s">
        <v>34</v>
      </c>
      <c r="H138" s="69">
        <v>1423.82</v>
      </c>
      <c r="I138" s="88">
        <v>1433.74</v>
      </c>
      <c r="J138" s="98">
        <v>46112.0</v>
      </c>
      <c r="K138" s="78" t="s">
        <v>38</v>
      </c>
      <c r="L138" s="101"/>
      <c r="M138" s="102"/>
      <c r="N138" s="109"/>
      <c r="O138" s="109"/>
      <c r="P138" s="109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8.0" customHeight="1">
      <c r="A139" s="113" t="s">
        <v>191</v>
      </c>
      <c r="B139" s="88">
        <v>1.0360108E7</v>
      </c>
      <c r="C139" s="90"/>
      <c r="D139" s="88" t="s">
        <v>66</v>
      </c>
      <c r="E139" s="92">
        <v>46036.0</v>
      </c>
      <c r="F139" s="92">
        <v>46106.0</v>
      </c>
      <c r="G139" s="65" t="s">
        <v>179</v>
      </c>
      <c r="H139" s="69">
        <v>1642.89</v>
      </c>
      <c r="I139" s="88">
        <v>1659.77</v>
      </c>
      <c r="J139" s="98">
        <v>46113.0</v>
      </c>
      <c r="K139" s="78" t="s">
        <v>180</v>
      </c>
      <c r="L139" s="101"/>
      <c r="M139" s="102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8.0" customHeight="1">
      <c r="A140" s="113" t="s">
        <v>240</v>
      </c>
      <c r="B140" s="88" t="s">
        <v>241</v>
      </c>
      <c r="C140" s="90"/>
      <c r="D140" s="88" t="s">
        <v>73</v>
      </c>
      <c r="E140" s="92">
        <v>46038.0</v>
      </c>
      <c r="F140" s="92">
        <v>46108.0</v>
      </c>
      <c r="G140" s="65" t="s">
        <v>34</v>
      </c>
      <c r="H140" s="69">
        <v>1613.05</v>
      </c>
      <c r="I140" s="69">
        <v>1624.29</v>
      </c>
      <c r="J140" s="98">
        <v>46114.0</v>
      </c>
      <c r="K140" s="78" t="s">
        <v>38</v>
      </c>
      <c r="L140" s="101"/>
      <c r="M140" s="102"/>
      <c r="N140" s="109"/>
      <c r="O140" s="109"/>
      <c r="P140" s="109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8.0" customHeight="1">
      <c r="A141" s="113" t="s">
        <v>206</v>
      </c>
      <c r="B141" s="88">
        <v>1.0360112E7</v>
      </c>
      <c r="C141" s="90"/>
      <c r="D141" s="88" t="s">
        <v>66</v>
      </c>
      <c r="E141" s="92">
        <v>46055.0</v>
      </c>
      <c r="F141" s="92">
        <v>46111.0</v>
      </c>
      <c r="G141" s="65" t="s">
        <v>179</v>
      </c>
      <c r="H141" s="69">
        <v>1801.41</v>
      </c>
      <c r="I141" s="88">
        <v>1809.13</v>
      </c>
      <c r="J141" s="98">
        <v>46113.0</v>
      </c>
      <c r="K141" s="78" t="s">
        <v>180</v>
      </c>
      <c r="L141" s="101"/>
      <c r="M141" s="102"/>
      <c r="N141" s="109"/>
      <c r="O141" s="109"/>
      <c r="P141" s="109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8.0" customHeight="1">
      <c r="A142" s="134"/>
      <c r="B142" s="135" t="s">
        <v>31</v>
      </c>
      <c r="C142" s="136"/>
      <c r="D142" s="137" t="s">
        <v>32</v>
      </c>
      <c r="E142" s="138"/>
      <c r="F142" s="139">
        <v>46111.0</v>
      </c>
      <c r="G142" s="140" t="s">
        <v>34</v>
      </c>
      <c r="H142" s="143">
        <v>3605.71</v>
      </c>
      <c r="I142" s="165"/>
      <c r="J142" s="135"/>
      <c r="K142" s="146"/>
      <c r="L142" s="101"/>
      <c r="M142" s="102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8.0" customHeight="1">
      <c r="A143" s="113" t="s">
        <v>242</v>
      </c>
      <c r="B143" s="88" t="s">
        <v>243</v>
      </c>
      <c r="C143" s="90"/>
      <c r="D143" s="88" t="s">
        <v>66</v>
      </c>
      <c r="E143" s="92">
        <v>46063.0</v>
      </c>
      <c r="F143" s="92">
        <v>46113.0</v>
      </c>
      <c r="G143" s="95" t="s">
        <v>34</v>
      </c>
      <c r="H143" s="69">
        <v>1801.41</v>
      </c>
      <c r="I143" s="69">
        <v>1803.52</v>
      </c>
      <c r="J143" s="98">
        <v>46114.0</v>
      </c>
      <c r="K143" s="78" t="s">
        <v>38</v>
      </c>
      <c r="L143" s="101"/>
      <c r="M143" s="102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8.0" customHeight="1">
      <c r="A144" s="113" t="s">
        <v>178</v>
      </c>
      <c r="B144" s="88">
        <v>1.0360116E7</v>
      </c>
      <c r="C144" s="90"/>
      <c r="D144" s="88" t="s">
        <v>66</v>
      </c>
      <c r="E144" s="92">
        <v>46055.0</v>
      </c>
      <c r="F144" s="92">
        <v>46116.0</v>
      </c>
      <c r="G144" s="65" t="s">
        <v>179</v>
      </c>
      <c r="H144" s="69">
        <v>2251.76</v>
      </c>
      <c r="I144" s="69">
        <v>2271.01</v>
      </c>
      <c r="J144" s="98">
        <v>46122.0</v>
      </c>
      <c r="K144" s="78" t="s">
        <v>180</v>
      </c>
      <c r="L144" s="101"/>
      <c r="M144" s="102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8.0" customHeight="1">
      <c r="A145" s="134"/>
      <c r="B145" s="135" t="s">
        <v>31</v>
      </c>
      <c r="C145" s="136"/>
      <c r="D145" s="137" t="s">
        <v>32</v>
      </c>
      <c r="E145" s="138"/>
      <c r="F145" s="139">
        <v>46119.0</v>
      </c>
      <c r="G145" s="140" t="s">
        <v>34</v>
      </c>
      <c r="H145" s="143">
        <v>3605.71</v>
      </c>
      <c r="I145" s="165"/>
      <c r="J145" s="145"/>
      <c r="K145" s="170"/>
      <c r="L145" s="101"/>
      <c r="M145" s="102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8.0" customHeight="1">
      <c r="A146" s="113" t="s">
        <v>191</v>
      </c>
      <c r="B146" s="88">
        <v>1.0360109E7</v>
      </c>
      <c r="C146" s="90"/>
      <c r="D146" s="88" t="s">
        <v>66</v>
      </c>
      <c r="E146" s="92">
        <v>46036.0</v>
      </c>
      <c r="F146" s="92">
        <v>46121.0</v>
      </c>
      <c r="G146" s="65" t="s">
        <v>179</v>
      </c>
      <c r="H146" s="69">
        <v>1642.89</v>
      </c>
      <c r="I146" s="69">
        <v>1655.95</v>
      </c>
      <c r="J146" s="98">
        <v>46126.0</v>
      </c>
      <c r="K146" s="78" t="s">
        <v>180</v>
      </c>
      <c r="L146" s="101"/>
      <c r="M146" s="102"/>
      <c r="N146" s="70"/>
      <c r="O146" s="70"/>
      <c r="P146" s="70"/>
      <c r="Q146" s="70">
        <f>SUM(Q112:Q139)</f>
        <v>330</v>
      </c>
      <c r="R146" s="70"/>
      <c r="S146" s="70"/>
      <c r="T146" s="70"/>
      <c r="U146" s="70"/>
      <c r="V146" s="70"/>
      <c r="W146" s="70"/>
      <c r="X146" s="70"/>
      <c r="Y146" s="70"/>
      <c r="Z146" s="70"/>
    </row>
    <row r="147" ht="18.0" customHeight="1">
      <c r="A147" s="113" t="s">
        <v>245</v>
      </c>
      <c r="B147" s="88" t="s">
        <v>246</v>
      </c>
      <c r="C147" s="90"/>
      <c r="D147" s="88" t="s">
        <v>113</v>
      </c>
      <c r="E147" s="92">
        <v>46094.0</v>
      </c>
      <c r="F147" s="92">
        <v>46125.0</v>
      </c>
      <c r="G147" s="65" t="s">
        <v>34</v>
      </c>
      <c r="H147" s="69">
        <v>1851.4</v>
      </c>
      <c r="I147" s="69">
        <v>1855.7</v>
      </c>
      <c r="J147" s="98">
        <v>46127.0</v>
      </c>
      <c r="K147" s="78" t="s">
        <v>38</v>
      </c>
      <c r="L147" s="101"/>
      <c r="M147" s="102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8.0" customHeight="1">
      <c r="A148" s="113" t="s">
        <v>191</v>
      </c>
      <c r="B148" s="88">
        <v>1.036011E7</v>
      </c>
      <c r="C148" s="90"/>
      <c r="D148" s="88" t="s">
        <v>66</v>
      </c>
      <c r="E148" s="92">
        <v>46036.0</v>
      </c>
      <c r="F148" s="92">
        <v>46126.0</v>
      </c>
      <c r="G148" s="65" t="s">
        <v>179</v>
      </c>
      <c r="H148" s="69">
        <v>1642.88</v>
      </c>
      <c r="I148" s="69">
        <v>1650.23</v>
      </c>
      <c r="J148" s="98">
        <v>46128.0</v>
      </c>
      <c r="K148" s="78" t="s">
        <v>180</v>
      </c>
      <c r="L148" s="101"/>
      <c r="M148" s="102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8.0" customHeight="1">
      <c r="A149" s="113" t="s">
        <v>206</v>
      </c>
      <c r="B149" s="88">
        <v>1.0360113E7</v>
      </c>
      <c r="C149" s="90"/>
      <c r="D149" s="88" t="s">
        <v>66</v>
      </c>
      <c r="E149" s="92">
        <v>46055.0</v>
      </c>
      <c r="F149" s="92">
        <v>46126.0</v>
      </c>
      <c r="G149" s="65" t="s">
        <v>179</v>
      </c>
      <c r="H149" s="69">
        <v>1801.41</v>
      </c>
      <c r="I149" s="69">
        <v>1809.13</v>
      </c>
      <c r="J149" s="98">
        <v>46128.0</v>
      </c>
      <c r="K149" s="78" t="s">
        <v>180</v>
      </c>
      <c r="L149" s="101"/>
      <c r="M149" s="102"/>
      <c r="N149" s="109"/>
      <c r="O149" s="109"/>
      <c r="P149" s="109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8.0" customHeight="1">
      <c r="A150" s="113" t="s">
        <v>264</v>
      </c>
      <c r="B150" s="88" t="s">
        <v>265</v>
      </c>
      <c r="C150" s="90"/>
      <c r="D150" s="88" t="s">
        <v>73</v>
      </c>
      <c r="E150" s="92">
        <v>46066.0</v>
      </c>
      <c r="F150" s="92">
        <v>46126.0</v>
      </c>
      <c r="G150" s="95" t="s">
        <v>34</v>
      </c>
      <c r="H150" s="69">
        <v>1075.37</v>
      </c>
      <c r="I150" s="69">
        <v>1084.12</v>
      </c>
      <c r="J150" s="98">
        <v>46133.0</v>
      </c>
      <c r="K150" s="78" t="s">
        <v>38</v>
      </c>
      <c r="L150" s="101"/>
      <c r="M150" s="102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8.0" customHeight="1">
      <c r="A151" s="113" t="s">
        <v>267</v>
      </c>
      <c r="B151" s="88" t="s">
        <v>268</v>
      </c>
      <c r="C151" s="90"/>
      <c r="D151" s="88" t="s">
        <v>73</v>
      </c>
      <c r="E151" s="92">
        <v>46066.0</v>
      </c>
      <c r="F151" s="92">
        <v>46126.0</v>
      </c>
      <c r="G151" s="95" t="s">
        <v>34</v>
      </c>
      <c r="H151" s="69">
        <v>1255.56</v>
      </c>
      <c r="I151" s="69">
        <v>1265.78</v>
      </c>
      <c r="J151" s="98">
        <v>46133.0</v>
      </c>
      <c r="K151" s="78" t="s">
        <v>38</v>
      </c>
      <c r="L151" s="101"/>
      <c r="M151" s="102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8.0" customHeight="1">
      <c r="A152" s="113" t="s">
        <v>242</v>
      </c>
      <c r="B152" s="88" t="s">
        <v>269</v>
      </c>
      <c r="C152" s="90"/>
      <c r="D152" s="88" t="s">
        <v>66</v>
      </c>
      <c r="E152" s="92">
        <v>46063.0</v>
      </c>
      <c r="F152" s="92">
        <v>46128.0</v>
      </c>
      <c r="G152" s="95" t="s">
        <v>34</v>
      </c>
      <c r="H152" s="69">
        <v>1801.41</v>
      </c>
      <c r="I152" s="69">
        <v>1814.09</v>
      </c>
      <c r="J152" s="98">
        <v>46134.0</v>
      </c>
      <c r="K152" s="78" t="s">
        <v>38</v>
      </c>
      <c r="L152" s="101"/>
      <c r="M152" s="102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18.0" customHeight="1">
      <c r="A153" s="113" t="s">
        <v>272</v>
      </c>
      <c r="B153" s="88" t="s">
        <v>273</v>
      </c>
      <c r="C153" s="90"/>
      <c r="D153" s="88" t="s">
        <v>73</v>
      </c>
      <c r="E153" s="92">
        <v>46069.0</v>
      </c>
      <c r="F153" s="92">
        <v>46129.0</v>
      </c>
      <c r="G153" s="65" t="s">
        <v>34</v>
      </c>
      <c r="H153" s="69">
        <v>459.62</v>
      </c>
      <c r="I153" s="69">
        <v>462.29</v>
      </c>
      <c r="J153" s="98">
        <v>46134.0</v>
      </c>
      <c r="K153" s="78" t="s">
        <v>38</v>
      </c>
      <c r="L153" s="101"/>
      <c r="M153" s="102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18.0" customHeight="1">
      <c r="A154" s="113" t="s">
        <v>274</v>
      </c>
      <c r="B154" s="88" t="s">
        <v>275</v>
      </c>
      <c r="C154" s="90"/>
      <c r="D154" s="88" t="s">
        <v>73</v>
      </c>
      <c r="E154" s="92">
        <v>46069.0</v>
      </c>
      <c r="F154" s="92">
        <v>46129.0</v>
      </c>
      <c r="G154" s="65" t="s">
        <v>34</v>
      </c>
      <c r="H154" s="69">
        <v>2221.48</v>
      </c>
      <c r="I154" s="69">
        <v>2236.96</v>
      </c>
      <c r="J154" s="98">
        <v>46135.0</v>
      </c>
      <c r="K154" s="78" t="s">
        <v>38</v>
      </c>
      <c r="L154" s="101"/>
      <c r="M154" s="102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18.0" customHeight="1">
      <c r="A155" s="113" t="s">
        <v>245</v>
      </c>
      <c r="B155" s="88" t="s">
        <v>277</v>
      </c>
      <c r="C155" s="90"/>
      <c r="D155" s="88" t="s">
        <v>113</v>
      </c>
      <c r="E155" s="92">
        <v>46094.0</v>
      </c>
      <c r="F155" s="92">
        <v>46129.0</v>
      </c>
      <c r="G155" s="65" t="s">
        <v>34</v>
      </c>
      <c r="H155" s="69">
        <v>1851.4</v>
      </c>
      <c r="I155" s="69">
        <v>1864.31</v>
      </c>
      <c r="J155" s="98">
        <v>46135.0</v>
      </c>
      <c r="K155" s="78" t="s">
        <v>38</v>
      </c>
      <c r="L155" s="101"/>
      <c r="M155" s="102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8.0" customHeight="1">
      <c r="A156" s="113" t="s">
        <v>178</v>
      </c>
      <c r="B156" s="88">
        <v>1.0360117E7</v>
      </c>
      <c r="C156" s="90"/>
      <c r="D156" s="88" t="s">
        <v>66</v>
      </c>
      <c r="E156" s="92">
        <v>46055.0</v>
      </c>
      <c r="F156" s="92">
        <v>46131.0</v>
      </c>
      <c r="G156" s="65" t="s">
        <v>179</v>
      </c>
      <c r="H156" s="69">
        <v>2251.76</v>
      </c>
      <c r="I156" s="69">
        <v>2265.78</v>
      </c>
      <c r="J156" s="98">
        <v>46135.0</v>
      </c>
      <c r="K156" s="78" t="s">
        <v>180</v>
      </c>
      <c r="L156" s="101"/>
      <c r="M156" s="102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8.0" customHeight="1">
      <c r="A157" s="113" t="s">
        <v>279</v>
      </c>
      <c r="B157" s="88" t="s">
        <v>280</v>
      </c>
      <c r="C157" s="90"/>
      <c r="D157" s="88" t="s">
        <v>73</v>
      </c>
      <c r="E157" s="92">
        <v>46070.0</v>
      </c>
      <c r="F157" s="92">
        <v>46132.0</v>
      </c>
      <c r="G157" s="65" t="s">
        <v>34</v>
      </c>
      <c r="H157" s="69">
        <v>4901.99</v>
      </c>
      <c r="I157" s="69">
        <v>4941.86</v>
      </c>
      <c r="J157" s="98">
        <v>46139.0</v>
      </c>
      <c r="K157" s="78" t="s">
        <v>38</v>
      </c>
      <c r="L157" s="101"/>
      <c r="M157" s="102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8.0" customHeight="1">
      <c r="A158" s="113" t="s">
        <v>245</v>
      </c>
      <c r="B158" s="88" t="s">
        <v>282</v>
      </c>
      <c r="C158" s="90"/>
      <c r="D158" s="88" t="s">
        <v>113</v>
      </c>
      <c r="E158" s="92">
        <v>46094.0</v>
      </c>
      <c r="F158" s="92">
        <v>46134.0</v>
      </c>
      <c r="G158" s="65" t="s">
        <v>34</v>
      </c>
      <c r="H158" s="69">
        <v>1851.4</v>
      </c>
      <c r="I158" s="69">
        <v>1866.46</v>
      </c>
      <c r="J158" s="98">
        <v>46141.0</v>
      </c>
      <c r="K158" s="78" t="s">
        <v>38</v>
      </c>
      <c r="L158" s="101"/>
      <c r="M158" s="102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8.0" customHeight="1">
      <c r="A159" s="113" t="s">
        <v>284</v>
      </c>
      <c r="B159" s="88" t="s">
        <v>285</v>
      </c>
      <c r="C159" s="90"/>
      <c r="D159" s="88" t="s">
        <v>286</v>
      </c>
      <c r="E159" s="92">
        <v>46090.0</v>
      </c>
      <c r="F159" s="92">
        <v>46135.0</v>
      </c>
      <c r="G159" s="95" t="s">
        <v>34</v>
      </c>
      <c r="H159" s="69">
        <v>4882.84</v>
      </c>
      <c r="I159" s="69">
        <v>4917.23</v>
      </c>
      <c r="J159" s="98">
        <v>46141.0</v>
      </c>
      <c r="K159" s="78" t="s">
        <v>38</v>
      </c>
      <c r="L159" s="101"/>
      <c r="M159" s="102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8.0" customHeight="1">
      <c r="A160" s="113" t="s">
        <v>178</v>
      </c>
      <c r="B160" s="88">
        <v>1.0360118E7</v>
      </c>
      <c r="C160" s="90"/>
      <c r="D160" s="88" t="s">
        <v>66</v>
      </c>
      <c r="E160" s="92">
        <v>46055.0</v>
      </c>
      <c r="F160" s="92">
        <v>46136.0</v>
      </c>
      <c r="G160" s="65" t="s">
        <v>179</v>
      </c>
      <c r="H160" s="69">
        <v>2251.79</v>
      </c>
      <c r="I160" s="69">
        <v>2271.03</v>
      </c>
      <c r="J160" s="98">
        <v>46142.0</v>
      </c>
      <c r="K160" s="78" t="s">
        <v>180</v>
      </c>
      <c r="L160" s="101"/>
      <c r="M160" s="102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8.0" customHeight="1">
      <c r="A161" s="113" t="s">
        <v>238</v>
      </c>
      <c r="B161" s="88" t="s">
        <v>287</v>
      </c>
      <c r="C161" s="90"/>
      <c r="D161" s="88" t="s">
        <v>113</v>
      </c>
      <c r="E161" s="92">
        <v>46076.0</v>
      </c>
      <c r="F161" s="92">
        <v>46136.0</v>
      </c>
      <c r="G161" s="65" t="s">
        <v>34</v>
      </c>
      <c r="H161" s="69">
        <v>1423.81</v>
      </c>
      <c r="I161" s="69">
        <v>1435.39</v>
      </c>
      <c r="J161" s="98">
        <v>46143.0</v>
      </c>
      <c r="K161" s="78" t="s">
        <v>38</v>
      </c>
      <c r="L161" s="101"/>
      <c r="M161" s="102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8.0" customHeight="1">
      <c r="A162" s="113" t="s">
        <v>289</v>
      </c>
      <c r="B162" s="88" t="s">
        <v>290</v>
      </c>
      <c r="C162" s="90"/>
      <c r="D162" s="88" t="s">
        <v>73</v>
      </c>
      <c r="E162" s="92">
        <v>46072.0</v>
      </c>
      <c r="F162" s="92">
        <v>46136.0</v>
      </c>
      <c r="G162" s="65" t="s">
        <v>34</v>
      </c>
      <c r="H162" s="69">
        <v>4666.83</v>
      </c>
      <c r="I162" s="69">
        <v>4704.79</v>
      </c>
      <c r="J162" s="98">
        <v>46143.0</v>
      </c>
      <c r="K162" s="78" t="s">
        <v>38</v>
      </c>
      <c r="L162" s="101"/>
      <c r="M162" s="102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18.0" customHeight="1">
      <c r="A163" s="113" t="s">
        <v>245</v>
      </c>
      <c r="B163" s="88" t="s">
        <v>291</v>
      </c>
      <c r="C163" s="90"/>
      <c r="D163" s="88" t="s">
        <v>113</v>
      </c>
      <c r="E163" s="92">
        <v>46094.0</v>
      </c>
      <c r="F163" s="92">
        <v>46139.0</v>
      </c>
      <c r="G163" s="65" t="s">
        <v>34</v>
      </c>
      <c r="H163" s="69">
        <v>1851.4</v>
      </c>
      <c r="I163" s="69">
        <v>1868.62</v>
      </c>
      <c r="J163" s="98">
        <v>46147.0</v>
      </c>
      <c r="K163" s="78" t="s">
        <v>38</v>
      </c>
      <c r="L163" s="101"/>
      <c r="M163" s="102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18.0" customHeight="1">
      <c r="A164" s="113" t="s">
        <v>294</v>
      </c>
      <c r="B164" s="88" t="s">
        <v>295</v>
      </c>
      <c r="C164" s="90"/>
      <c r="D164" s="88" t="s">
        <v>73</v>
      </c>
      <c r="E164" s="92">
        <v>46079.0</v>
      </c>
      <c r="F164" s="92">
        <v>46139.0</v>
      </c>
      <c r="G164" s="65" t="s">
        <v>34</v>
      </c>
      <c r="H164" s="69">
        <v>156.63</v>
      </c>
      <c r="I164" s="69">
        <v>158.09</v>
      </c>
      <c r="J164" s="98">
        <v>46147.0</v>
      </c>
      <c r="K164" s="78" t="s">
        <v>38</v>
      </c>
      <c r="L164" s="101"/>
      <c r="M164" s="102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8.0" customHeight="1">
      <c r="A165" s="113" t="s">
        <v>242</v>
      </c>
      <c r="B165" s="88" t="s">
        <v>296</v>
      </c>
      <c r="C165" s="90"/>
      <c r="D165" s="88" t="s">
        <v>66</v>
      </c>
      <c r="E165" s="92">
        <v>46063.0</v>
      </c>
      <c r="F165" s="92">
        <v>46143.0</v>
      </c>
      <c r="G165" s="65" t="s">
        <v>34</v>
      </c>
      <c r="H165" s="69">
        <v>1801.41</v>
      </c>
      <c r="I165" s="69">
        <v>1809.87</v>
      </c>
      <c r="J165" s="98">
        <v>46147.0</v>
      </c>
      <c r="K165" s="78" t="s">
        <v>38</v>
      </c>
      <c r="L165" s="101"/>
      <c r="M165" s="102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8.0" customHeight="1">
      <c r="A166" s="113" t="s">
        <v>299</v>
      </c>
      <c r="B166" s="88" t="s">
        <v>31</v>
      </c>
      <c r="C166" s="90"/>
      <c r="D166" s="88" t="s">
        <v>73</v>
      </c>
      <c r="E166" s="92">
        <v>46083.0</v>
      </c>
      <c r="F166" s="92">
        <v>46143.0</v>
      </c>
      <c r="G166" s="65" t="s">
        <v>34</v>
      </c>
      <c r="H166" s="69">
        <v>78.32</v>
      </c>
      <c r="I166" s="69">
        <v>78.32</v>
      </c>
      <c r="J166" s="98">
        <v>46171.0</v>
      </c>
      <c r="K166" s="78" t="s">
        <v>38</v>
      </c>
      <c r="L166" s="101"/>
      <c r="M166" s="102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8.0" customHeight="1">
      <c r="A167" s="113" t="s">
        <v>245</v>
      </c>
      <c r="B167" s="88" t="s">
        <v>301</v>
      </c>
      <c r="C167" s="90"/>
      <c r="D167" s="88" t="s">
        <v>113</v>
      </c>
      <c r="E167" s="92">
        <v>46094.0</v>
      </c>
      <c r="F167" s="92">
        <v>46143.0</v>
      </c>
      <c r="G167" s="65" t="s">
        <v>34</v>
      </c>
      <c r="H167" s="69">
        <v>1851.4</v>
      </c>
      <c r="I167" s="69">
        <v>1860.0</v>
      </c>
      <c r="J167" s="98">
        <v>46147.0</v>
      </c>
      <c r="K167" s="78" t="s">
        <v>38</v>
      </c>
      <c r="L167" s="101"/>
      <c r="M167" s="102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8.0" customHeight="1">
      <c r="A168" s="113" t="s">
        <v>304</v>
      </c>
      <c r="B168" s="88" t="s">
        <v>305</v>
      </c>
      <c r="C168" s="90"/>
      <c r="D168" s="88" t="s">
        <v>73</v>
      </c>
      <c r="E168" s="92">
        <v>46084.0</v>
      </c>
      <c r="F168" s="92">
        <v>46146.0</v>
      </c>
      <c r="G168" s="65" t="s">
        <v>34</v>
      </c>
      <c r="H168" s="69">
        <v>1684.25</v>
      </c>
      <c r="I168" s="69">
        <v>1776.88</v>
      </c>
      <c r="J168" s="98">
        <v>46155.0</v>
      </c>
      <c r="K168" s="78" t="s">
        <v>38</v>
      </c>
      <c r="L168" s="101"/>
      <c r="M168" s="102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8.0" customHeight="1">
      <c r="A169" s="113" t="s">
        <v>307</v>
      </c>
      <c r="B169" s="88" t="s">
        <v>308</v>
      </c>
      <c r="C169" s="90"/>
      <c r="D169" s="88" t="s">
        <v>73</v>
      </c>
      <c r="E169" s="92">
        <v>46084.0</v>
      </c>
      <c r="F169" s="92">
        <v>46146.0</v>
      </c>
      <c r="G169" s="65" t="s">
        <v>34</v>
      </c>
      <c r="H169" s="69">
        <v>1219.64</v>
      </c>
      <c r="I169" s="69">
        <v>1307.4</v>
      </c>
      <c r="J169" s="98">
        <v>46155.0</v>
      </c>
      <c r="K169" s="78" t="s">
        <v>38</v>
      </c>
      <c r="L169" s="101"/>
      <c r="M169" s="102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8.0" customHeight="1">
      <c r="A170" s="113" t="s">
        <v>310</v>
      </c>
      <c r="B170" s="88" t="s">
        <v>311</v>
      </c>
      <c r="C170" s="90"/>
      <c r="D170" s="88" t="s">
        <v>66</v>
      </c>
      <c r="E170" s="92">
        <v>46088.0</v>
      </c>
      <c r="F170" s="92">
        <v>46148.0</v>
      </c>
      <c r="G170" s="65" t="s">
        <v>34</v>
      </c>
      <c r="H170" s="69">
        <v>1561.89</v>
      </c>
      <c r="I170" s="69">
        <v>1574.72</v>
      </c>
      <c r="J170" s="98">
        <v>46155.0</v>
      </c>
      <c r="K170" s="78" t="s">
        <v>38</v>
      </c>
      <c r="L170" s="101"/>
      <c r="M170" s="102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8.0" customHeight="1">
      <c r="A171" s="113" t="s">
        <v>245</v>
      </c>
      <c r="B171" s="88" t="s">
        <v>313</v>
      </c>
      <c r="C171" s="90"/>
      <c r="D171" s="88" t="s">
        <v>113</v>
      </c>
      <c r="E171" s="92">
        <v>46094.0</v>
      </c>
      <c r="F171" s="92">
        <v>46149.0</v>
      </c>
      <c r="G171" s="65" t="s">
        <v>34</v>
      </c>
      <c r="H171" s="69">
        <v>1851.4</v>
      </c>
      <c r="I171" s="69">
        <v>1866.46</v>
      </c>
      <c r="J171" s="98">
        <v>46156.0</v>
      </c>
      <c r="K171" s="78" t="s">
        <v>38</v>
      </c>
      <c r="L171" s="101"/>
      <c r="M171" s="102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8.0" customHeight="1">
      <c r="A172" s="113" t="s">
        <v>284</v>
      </c>
      <c r="B172" s="88" t="s">
        <v>316</v>
      </c>
      <c r="C172" s="90"/>
      <c r="D172" s="88" t="s">
        <v>286</v>
      </c>
      <c r="E172" s="92">
        <v>46090.0</v>
      </c>
      <c r="F172" s="92">
        <v>46150.0</v>
      </c>
      <c r="G172" s="65" t="s">
        <v>34</v>
      </c>
      <c r="H172" s="69">
        <v>4882.84</v>
      </c>
      <c r="I172" s="69">
        <v>4940.22</v>
      </c>
      <c r="J172" s="98">
        <v>46160.0</v>
      </c>
      <c r="K172" s="78" t="s">
        <v>38</v>
      </c>
      <c r="L172" s="101"/>
      <c r="M172" s="102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8.0" customHeight="1">
      <c r="A173" s="113" t="s">
        <v>245</v>
      </c>
      <c r="B173" s="88" t="s">
        <v>317</v>
      </c>
      <c r="C173" s="90"/>
      <c r="D173" s="88" t="s">
        <v>113</v>
      </c>
      <c r="E173" s="92">
        <v>46094.0</v>
      </c>
      <c r="F173" s="92">
        <v>46154.0</v>
      </c>
      <c r="G173" s="65" t="s">
        <v>34</v>
      </c>
      <c r="H173" s="69">
        <v>1851.4</v>
      </c>
      <c r="I173" s="69">
        <v>1864.31</v>
      </c>
      <c r="J173" s="98">
        <v>46160.0</v>
      </c>
      <c r="K173" s="78" t="s">
        <v>38</v>
      </c>
      <c r="L173" s="101"/>
      <c r="M173" s="102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8.0" customHeight="1">
      <c r="A174" s="113" t="s">
        <v>319</v>
      </c>
      <c r="B174" s="88" t="s">
        <v>320</v>
      </c>
      <c r="C174" s="90"/>
      <c r="D174" s="88" t="s">
        <v>73</v>
      </c>
      <c r="E174" s="92">
        <v>46093.0</v>
      </c>
      <c r="F174" s="92">
        <v>46156.0</v>
      </c>
      <c r="G174" s="65" t="s">
        <v>34</v>
      </c>
      <c r="H174" s="69">
        <v>2461.83</v>
      </c>
      <c r="I174" s="69">
        <v>2478.99</v>
      </c>
      <c r="J174" s="98">
        <v>46162.0</v>
      </c>
      <c r="K174" s="78" t="s">
        <v>38</v>
      </c>
      <c r="L174" s="101"/>
      <c r="M174" s="102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8.0" customHeight="1">
      <c r="A175" s="113" t="s">
        <v>322</v>
      </c>
      <c r="B175" s="88" t="s">
        <v>324</v>
      </c>
      <c r="C175" s="90"/>
      <c r="D175" s="88" t="s">
        <v>73</v>
      </c>
      <c r="E175" s="92">
        <v>46092.0</v>
      </c>
      <c r="F175" s="92">
        <v>46157.0</v>
      </c>
      <c r="G175" s="65" t="s">
        <v>34</v>
      </c>
      <c r="H175" s="69">
        <v>2100.79</v>
      </c>
      <c r="I175" s="69">
        <v>2112.99</v>
      </c>
      <c r="J175" s="98">
        <v>46162.0</v>
      </c>
      <c r="K175" s="78" t="s">
        <v>38</v>
      </c>
      <c r="L175" s="101"/>
      <c r="M175" s="102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8.0" customHeight="1">
      <c r="A176" s="113" t="s">
        <v>325</v>
      </c>
      <c r="B176" s="88" t="s">
        <v>326</v>
      </c>
      <c r="C176" s="90"/>
      <c r="D176" s="88" t="s">
        <v>286</v>
      </c>
      <c r="E176" s="92">
        <v>46099.0</v>
      </c>
      <c r="F176" s="92">
        <v>46157.0</v>
      </c>
      <c r="G176" s="65" t="s">
        <v>34</v>
      </c>
      <c r="H176" s="69">
        <v>3295.74</v>
      </c>
      <c r="I176" s="69">
        <v>3318.95</v>
      </c>
      <c r="J176" s="98">
        <v>46163.0</v>
      </c>
      <c r="K176" s="78" t="s">
        <v>38</v>
      </c>
      <c r="L176" s="101"/>
      <c r="M176" s="102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8.0" customHeight="1">
      <c r="A177" s="113" t="s">
        <v>328</v>
      </c>
      <c r="B177" s="88" t="s">
        <v>329</v>
      </c>
      <c r="C177" s="90"/>
      <c r="D177" s="88" t="s">
        <v>113</v>
      </c>
      <c r="E177" s="92">
        <v>46097.0</v>
      </c>
      <c r="F177" s="92">
        <v>46157.0</v>
      </c>
      <c r="G177" s="65" t="s">
        <v>34</v>
      </c>
      <c r="H177" s="69">
        <v>2413.18</v>
      </c>
      <c r="I177" s="69">
        <v>2435.62</v>
      </c>
      <c r="J177" s="98">
        <v>46165.0</v>
      </c>
      <c r="K177" s="78" t="s">
        <v>38</v>
      </c>
      <c r="L177" s="101"/>
      <c r="M177" s="102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8.0" customHeight="1">
      <c r="A178" s="113" t="s">
        <v>331</v>
      </c>
      <c r="B178" s="88" t="s">
        <v>332</v>
      </c>
      <c r="C178" s="90"/>
      <c r="D178" s="88" t="s">
        <v>73</v>
      </c>
      <c r="E178" s="92">
        <v>46093.0</v>
      </c>
      <c r="F178" s="92">
        <v>46159.0</v>
      </c>
      <c r="G178" s="65" t="s">
        <v>34</v>
      </c>
      <c r="H178" s="69">
        <v>2296.53</v>
      </c>
      <c r="I178" s="69">
        <v>2317.88</v>
      </c>
      <c r="J178" s="98">
        <v>46167.0</v>
      </c>
      <c r="K178" s="78" t="s">
        <v>38</v>
      </c>
      <c r="L178" s="101"/>
      <c r="M178" s="102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8.0" customHeight="1">
      <c r="A179" s="113" t="s">
        <v>335</v>
      </c>
      <c r="B179" s="88" t="s">
        <v>336</v>
      </c>
      <c r="C179" s="90"/>
      <c r="D179" s="88" t="s">
        <v>73</v>
      </c>
      <c r="E179" s="92">
        <v>46098.0</v>
      </c>
      <c r="F179" s="92">
        <v>46160.0</v>
      </c>
      <c r="G179" s="65" t="s">
        <v>34</v>
      </c>
      <c r="H179" s="69">
        <v>802.54</v>
      </c>
      <c r="I179" s="69">
        <v>809.06</v>
      </c>
      <c r="J179" s="98">
        <v>46167.0</v>
      </c>
      <c r="K179" s="78" t="s">
        <v>38</v>
      </c>
      <c r="L179" s="101"/>
      <c r="M179" s="102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8.0" customHeight="1">
      <c r="A180" s="113" t="s">
        <v>245</v>
      </c>
      <c r="B180" s="88" t="s">
        <v>338</v>
      </c>
      <c r="C180" s="90"/>
      <c r="D180" s="88" t="s">
        <v>113</v>
      </c>
      <c r="E180" s="92">
        <v>46094.0</v>
      </c>
      <c r="F180" s="92">
        <v>46160.0</v>
      </c>
      <c r="G180" s="65" t="s">
        <v>34</v>
      </c>
      <c r="H180" s="69">
        <v>1851.38</v>
      </c>
      <c r="I180" s="69">
        <v>1945.75</v>
      </c>
      <c r="J180" s="98">
        <v>46169.0</v>
      </c>
      <c r="K180" s="78" t="s">
        <v>38</v>
      </c>
      <c r="L180" s="101"/>
      <c r="M180" s="102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8.0" customHeight="1">
      <c r="A181" s="113" t="s">
        <v>339</v>
      </c>
      <c r="B181" s="88" t="s">
        <v>340</v>
      </c>
      <c r="C181" s="90"/>
      <c r="D181" s="88" t="s">
        <v>73</v>
      </c>
      <c r="E181" s="92">
        <v>46099.0</v>
      </c>
      <c r="F181" s="92">
        <v>46160.0</v>
      </c>
      <c r="G181" s="65" t="s">
        <v>34</v>
      </c>
      <c r="H181" s="69">
        <v>232.31</v>
      </c>
      <c r="I181" s="69">
        <v>309.74</v>
      </c>
      <c r="J181" s="98">
        <v>46169.0</v>
      </c>
      <c r="K181" s="78" t="s">
        <v>38</v>
      </c>
      <c r="L181" s="101"/>
      <c r="M181" s="102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8.0" customHeight="1">
      <c r="A182" s="113" t="s">
        <v>341</v>
      </c>
      <c r="B182" s="88" t="s">
        <v>342</v>
      </c>
      <c r="C182" s="90"/>
      <c r="D182" s="88" t="s">
        <v>286</v>
      </c>
      <c r="E182" s="92">
        <v>46092.0</v>
      </c>
      <c r="F182" s="92">
        <v>46162.0</v>
      </c>
      <c r="G182" s="65" t="s">
        <v>34</v>
      </c>
      <c r="H182" s="69">
        <v>2057.8</v>
      </c>
      <c r="I182" s="69">
        <v>2077.14</v>
      </c>
      <c r="J182" s="98">
        <v>46170.0</v>
      </c>
      <c r="K182" s="78" t="s">
        <v>38</v>
      </c>
      <c r="L182" s="101"/>
      <c r="M182" s="102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8.0" customHeight="1">
      <c r="A183" s="113" t="s">
        <v>344</v>
      </c>
      <c r="B183" s="88" t="s">
        <v>345</v>
      </c>
      <c r="C183" s="90"/>
      <c r="D183" s="88" t="s">
        <v>73</v>
      </c>
      <c r="E183" s="92">
        <v>46093.0</v>
      </c>
      <c r="F183" s="92">
        <v>46162.0</v>
      </c>
      <c r="G183" s="65" t="s">
        <v>34</v>
      </c>
      <c r="H183" s="69">
        <v>2772.11</v>
      </c>
      <c r="I183" s="69">
        <v>2797.89</v>
      </c>
      <c r="J183" s="98">
        <v>46170.0</v>
      </c>
      <c r="K183" s="78" t="s">
        <v>38</v>
      </c>
      <c r="L183" s="101"/>
      <c r="M183" s="102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8.0" customHeight="1">
      <c r="A184" s="113" t="s">
        <v>346</v>
      </c>
      <c r="B184" s="88" t="s">
        <v>347</v>
      </c>
      <c r="C184" s="90"/>
      <c r="D184" s="88" t="s">
        <v>113</v>
      </c>
      <c r="E184" s="92">
        <v>46132.0</v>
      </c>
      <c r="F184" s="92">
        <v>46162.0</v>
      </c>
      <c r="G184" s="65" t="s">
        <v>34</v>
      </c>
      <c r="H184" s="69">
        <v>2838.23</v>
      </c>
      <c r="I184" s="69">
        <v>2864.62</v>
      </c>
      <c r="J184" s="98">
        <v>46170.0</v>
      </c>
      <c r="K184" s="78" t="s">
        <v>38</v>
      </c>
      <c r="L184" s="101"/>
      <c r="M184" s="102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8.0" customHeight="1">
      <c r="A185" s="113" t="s">
        <v>310</v>
      </c>
      <c r="B185" s="88" t="s">
        <v>348</v>
      </c>
      <c r="C185" s="90"/>
      <c r="D185" s="88" t="s">
        <v>66</v>
      </c>
      <c r="E185" s="92">
        <v>46088.0</v>
      </c>
      <c r="F185" s="92">
        <v>46163.0</v>
      </c>
      <c r="G185" s="65" t="s">
        <v>34</v>
      </c>
      <c r="H185" s="69">
        <v>1561.9</v>
      </c>
      <c r="I185" s="69">
        <v>1576.58</v>
      </c>
      <c r="J185" s="98">
        <v>46171.0</v>
      </c>
      <c r="K185" s="78" t="s">
        <v>38</v>
      </c>
      <c r="L185" s="101"/>
      <c r="M185" s="102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8.0" customHeight="1">
      <c r="A186" s="113" t="s">
        <v>349</v>
      </c>
      <c r="B186" s="88" t="s">
        <v>350</v>
      </c>
      <c r="C186" s="90"/>
      <c r="D186" s="88" t="s">
        <v>73</v>
      </c>
      <c r="E186" s="92">
        <v>46099.0</v>
      </c>
      <c r="F186" s="92">
        <v>46163.0</v>
      </c>
      <c r="G186" s="65" t="s">
        <v>34</v>
      </c>
      <c r="H186" s="69">
        <v>2858.23</v>
      </c>
      <c r="I186" s="69">
        <v>2884.81</v>
      </c>
      <c r="J186" s="98">
        <v>46171.0</v>
      </c>
      <c r="K186" s="78" t="s">
        <v>38</v>
      </c>
      <c r="L186" s="101"/>
      <c r="M186" s="102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8.0" customHeight="1">
      <c r="A187" s="113" t="s">
        <v>351</v>
      </c>
      <c r="B187" s="88" t="s">
        <v>352</v>
      </c>
      <c r="C187" s="90"/>
      <c r="D187" s="88" t="s">
        <v>66</v>
      </c>
      <c r="E187" s="92">
        <v>46085.0</v>
      </c>
      <c r="F187" s="92">
        <v>46164.0</v>
      </c>
      <c r="G187" s="65" t="s">
        <v>34</v>
      </c>
      <c r="H187" s="69">
        <v>1504.05</v>
      </c>
      <c r="I187" s="69">
        <v>1518.18</v>
      </c>
      <c r="J187" s="98">
        <v>46172.0</v>
      </c>
      <c r="K187" s="78" t="s">
        <v>38</v>
      </c>
      <c r="L187" s="101"/>
      <c r="M187" s="102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8.0" customHeight="1">
      <c r="A188" s="113" t="s">
        <v>353</v>
      </c>
      <c r="B188" s="88" t="s">
        <v>354</v>
      </c>
      <c r="C188" s="90"/>
      <c r="D188" s="88" t="s">
        <v>73</v>
      </c>
      <c r="E188" s="92">
        <v>46099.0</v>
      </c>
      <c r="F188" s="92">
        <v>46166.0</v>
      </c>
      <c r="G188" s="65" t="s">
        <v>34</v>
      </c>
      <c r="H188" s="69">
        <v>2760.74</v>
      </c>
      <c r="I188" s="69">
        <v>2786.42</v>
      </c>
      <c r="J188" s="98">
        <v>46174.0</v>
      </c>
      <c r="K188" s="78" t="s">
        <v>38</v>
      </c>
      <c r="L188" s="101"/>
      <c r="M188" s="102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8.0" customHeight="1">
      <c r="A189" s="113" t="s">
        <v>355</v>
      </c>
      <c r="B189" s="88" t="s">
        <v>356</v>
      </c>
      <c r="C189" s="90"/>
      <c r="D189" s="88" t="s">
        <v>73</v>
      </c>
      <c r="E189" s="92">
        <v>46099.0</v>
      </c>
      <c r="F189" s="92">
        <v>46169.0</v>
      </c>
      <c r="G189" s="65" t="s">
        <v>34</v>
      </c>
      <c r="H189" s="69">
        <v>2684.94</v>
      </c>
      <c r="I189" s="69">
        <v>2703.65</v>
      </c>
      <c r="J189" s="98">
        <v>46175.0</v>
      </c>
      <c r="K189" s="78" t="s">
        <v>38</v>
      </c>
      <c r="L189" s="101"/>
      <c r="M189" s="102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8.0" customHeight="1">
      <c r="A190" s="113" t="s">
        <v>328</v>
      </c>
      <c r="B190" s="88" t="s">
        <v>359</v>
      </c>
      <c r="C190" s="90"/>
      <c r="D190" s="88" t="s">
        <v>113</v>
      </c>
      <c r="E190" s="92">
        <v>46097.0</v>
      </c>
      <c r="F190" s="92">
        <v>46169.0</v>
      </c>
      <c r="G190" s="65" t="s">
        <v>34</v>
      </c>
      <c r="H190" s="69">
        <v>2413.18</v>
      </c>
      <c r="I190" s="69">
        <v>2432.81</v>
      </c>
      <c r="J190" s="98">
        <v>46176.0</v>
      </c>
      <c r="K190" s="78" t="s">
        <v>38</v>
      </c>
      <c r="L190" s="101"/>
      <c r="M190" s="102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8.0" customHeight="1">
      <c r="A191" s="113" t="s">
        <v>362</v>
      </c>
      <c r="B191" s="88" t="s">
        <v>363</v>
      </c>
      <c r="C191" s="90"/>
      <c r="D191" s="88" t="s">
        <v>113</v>
      </c>
      <c r="E191" s="92">
        <v>46140.0</v>
      </c>
      <c r="F191" s="92">
        <v>46170.0</v>
      </c>
      <c r="G191" s="65" t="s">
        <v>34</v>
      </c>
      <c r="H191" s="69">
        <v>1654.13</v>
      </c>
      <c r="I191" s="69">
        <v>1667.58</v>
      </c>
      <c r="J191" s="98">
        <v>46177.0</v>
      </c>
      <c r="K191" s="78" t="s">
        <v>38</v>
      </c>
      <c r="L191" s="101"/>
      <c r="M191" s="102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8.0" customHeight="1">
      <c r="A192" s="113" t="s">
        <v>365</v>
      </c>
      <c r="B192" s="88" t="s">
        <v>366</v>
      </c>
      <c r="C192" s="90"/>
      <c r="D192" s="88" t="s">
        <v>113</v>
      </c>
      <c r="E192" s="92">
        <v>46139.0</v>
      </c>
      <c r="F192" s="92">
        <v>46171.0</v>
      </c>
      <c r="G192" s="65" t="s">
        <v>34</v>
      </c>
      <c r="H192" s="69">
        <v>2376.52</v>
      </c>
      <c r="I192" s="69">
        <v>2395.85</v>
      </c>
      <c r="J192" s="98">
        <v>46178.0</v>
      </c>
      <c r="K192" s="78" t="s">
        <v>38</v>
      </c>
      <c r="L192" s="101"/>
      <c r="M192" s="102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8.0" customHeight="1">
      <c r="A193" s="113" t="s">
        <v>368</v>
      </c>
      <c r="B193" s="88" t="s">
        <v>369</v>
      </c>
      <c r="C193" s="90"/>
      <c r="D193" s="88" t="s">
        <v>73</v>
      </c>
      <c r="E193" s="92">
        <v>46099.0</v>
      </c>
      <c r="F193" s="92">
        <v>46172.0</v>
      </c>
      <c r="G193" s="65" t="s">
        <v>34</v>
      </c>
      <c r="H193" s="69">
        <v>1469.64</v>
      </c>
      <c r="I193" s="69">
        <v>1479.89</v>
      </c>
      <c r="J193" s="98">
        <v>46178.0</v>
      </c>
      <c r="K193" s="78" t="s">
        <v>38</v>
      </c>
      <c r="L193" s="202"/>
      <c r="M193" s="203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</row>
    <row r="194" ht="18.0" customHeight="1">
      <c r="A194" s="134" t="s">
        <v>372</v>
      </c>
      <c r="B194" s="135" t="s">
        <v>31</v>
      </c>
      <c r="C194" s="136"/>
      <c r="D194" s="135" t="s">
        <v>286</v>
      </c>
      <c r="E194" s="139">
        <v>46127.0</v>
      </c>
      <c r="F194" s="139">
        <v>46172.0</v>
      </c>
      <c r="G194" s="205" t="s">
        <v>34</v>
      </c>
      <c r="H194" s="143">
        <v>363.44</v>
      </c>
      <c r="I194" s="165"/>
      <c r="J194" s="145"/>
      <c r="K194" s="206">
        <v>1.912214866082E12</v>
      </c>
      <c r="L194" s="101"/>
      <c r="M194" s="102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8.0" customHeight="1">
      <c r="A195" s="113" t="s">
        <v>377</v>
      </c>
      <c r="B195" s="88" t="s">
        <v>378</v>
      </c>
      <c r="C195" s="90"/>
      <c r="D195" s="88" t="s">
        <v>73</v>
      </c>
      <c r="E195" s="92">
        <v>46099.0</v>
      </c>
      <c r="F195" s="92">
        <v>46175.0</v>
      </c>
      <c r="G195" s="65" t="s">
        <v>34</v>
      </c>
      <c r="H195" s="69">
        <v>2787.73</v>
      </c>
      <c r="I195" s="69">
        <v>2810.41</v>
      </c>
      <c r="J195" s="98">
        <v>46182.0</v>
      </c>
      <c r="K195" s="78" t="s">
        <v>38</v>
      </c>
      <c r="L195" s="101"/>
      <c r="M195" s="102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8.0" customHeight="1">
      <c r="A196" s="113" t="s">
        <v>379</v>
      </c>
      <c r="B196" s="88" t="s">
        <v>380</v>
      </c>
      <c r="C196" s="90"/>
      <c r="D196" s="88" t="s">
        <v>61</v>
      </c>
      <c r="E196" s="92">
        <v>46142.0</v>
      </c>
      <c r="F196" s="92">
        <v>46175.0</v>
      </c>
      <c r="G196" s="65" t="s">
        <v>34</v>
      </c>
      <c r="H196" s="69">
        <v>3133.33</v>
      </c>
      <c r="I196" s="69">
        <v>3158.82</v>
      </c>
      <c r="J196" s="98">
        <v>46182.0</v>
      </c>
      <c r="K196" s="78" t="s">
        <v>38</v>
      </c>
      <c r="L196" s="101"/>
      <c r="M196" s="102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8.0" customHeight="1">
      <c r="A197" s="113" t="s">
        <v>381</v>
      </c>
      <c r="B197" s="88" t="s">
        <v>382</v>
      </c>
      <c r="C197" s="90"/>
      <c r="D197" s="88" t="s">
        <v>73</v>
      </c>
      <c r="E197" s="92">
        <v>46101.0</v>
      </c>
      <c r="F197" s="92">
        <v>46177.0</v>
      </c>
      <c r="G197" s="65" t="s">
        <v>34</v>
      </c>
      <c r="H197" s="69">
        <v>2252.7</v>
      </c>
      <c r="I197" s="69">
        <v>2271.02</v>
      </c>
      <c r="J197" s="98">
        <v>46184.0</v>
      </c>
      <c r="K197" s="78" t="s">
        <v>38</v>
      </c>
      <c r="L197" s="101"/>
      <c r="M197" s="102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8.0" customHeight="1">
      <c r="A198" s="113" t="s">
        <v>383</v>
      </c>
      <c r="B198" s="88" t="s">
        <v>384</v>
      </c>
      <c r="C198" s="90"/>
      <c r="D198" s="88" t="s">
        <v>66</v>
      </c>
      <c r="E198" s="92">
        <v>46119.0</v>
      </c>
      <c r="F198" s="92">
        <v>46178.0</v>
      </c>
      <c r="G198" s="65" t="s">
        <v>34</v>
      </c>
      <c r="H198" s="69">
        <v>2233.8</v>
      </c>
      <c r="I198" s="69">
        <v>2249.53</v>
      </c>
      <c r="J198" s="98">
        <v>46184.0</v>
      </c>
      <c r="K198" s="78" t="s">
        <v>38</v>
      </c>
      <c r="L198" s="101"/>
      <c r="M198" s="102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8.0" customHeight="1">
      <c r="A199" s="134" t="s">
        <v>385</v>
      </c>
      <c r="B199" s="135" t="s">
        <v>117</v>
      </c>
      <c r="C199" s="136"/>
      <c r="D199" s="135" t="s">
        <v>61</v>
      </c>
      <c r="E199" s="139">
        <v>46162.0</v>
      </c>
      <c r="F199" s="139">
        <v>46179.0</v>
      </c>
      <c r="G199" s="205" t="s">
        <v>34</v>
      </c>
      <c r="H199" s="143">
        <v>1980.0</v>
      </c>
      <c r="I199" s="165"/>
      <c r="J199" s="145"/>
      <c r="K199" s="206"/>
      <c r="L199" s="106" t="s">
        <v>67</v>
      </c>
      <c r="M199" s="102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8.0" customHeight="1">
      <c r="A200" s="113" t="s">
        <v>386</v>
      </c>
      <c r="B200" s="88" t="s">
        <v>387</v>
      </c>
      <c r="C200" s="90"/>
      <c r="D200" s="88" t="s">
        <v>73</v>
      </c>
      <c r="E200" s="92">
        <v>46111.0</v>
      </c>
      <c r="F200" s="92">
        <v>46179.0</v>
      </c>
      <c r="G200" s="65" t="s">
        <v>34</v>
      </c>
      <c r="H200" s="69">
        <v>2758.63</v>
      </c>
      <c r="I200" s="69">
        <v>2777.85</v>
      </c>
      <c r="J200" s="98">
        <v>46185.0</v>
      </c>
      <c r="K200" s="78" t="s">
        <v>38</v>
      </c>
      <c r="L200" s="101"/>
      <c r="M200" s="102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8.0" customHeight="1">
      <c r="A201" s="113" t="s">
        <v>388</v>
      </c>
      <c r="B201" s="88" t="s">
        <v>389</v>
      </c>
      <c r="C201" s="90"/>
      <c r="D201" s="88" t="s">
        <v>73</v>
      </c>
      <c r="E201" s="92">
        <v>46119.0</v>
      </c>
      <c r="F201" s="92">
        <v>46181.0</v>
      </c>
      <c r="G201" s="65" t="s">
        <v>34</v>
      </c>
      <c r="H201" s="69">
        <f>580.77-116.16</f>
        <v>464.61</v>
      </c>
      <c r="I201" s="69">
        <v>466.77</v>
      </c>
      <c r="J201" s="98">
        <v>46185.0</v>
      </c>
      <c r="K201" s="78" t="s">
        <v>38</v>
      </c>
      <c r="L201" s="101"/>
      <c r="M201" s="102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8.0" customHeight="1">
      <c r="A202" s="113" t="s">
        <v>390</v>
      </c>
      <c r="B202" s="88" t="s">
        <v>391</v>
      </c>
      <c r="C202" s="90"/>
      <c r="D202" s="88" t="s">
        <v>66</v>
      </c>
      <c r="E202" s="92">
        <v>46105.0</v>
      </c>
      <c r="F202" s="92">
        <v>46181.0</v>
      </c>
      <c r="G202" s="65" t="s">
        <v>34</v>
      </c>
      <c r="H202" s="69">
        <v>2628.0</v>
      </c>
      <c r="I202" s="69">
        <v>2652.69</v>
      </c>
      <c r="J202" s="98">
        <v>46189.0</v>
      </c>
      <c r="K202" s="78" t="s">
        <v>38</v>
      </c>
      <c r="L202" s="101"/>
      <c r="M202" s="102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8.0" customHeight="1">
      <c r="A203" s="113" t="s">
        <v>392</v>
      </c>
      <c r="B203" s="88" t="s">
        <v>393</v>
      </c>
      <c r="C203" s="90"/>
      <c r="D203" s="88" t="s">
        <v>113</v>
      </c>
      <c r="E203" s="92">
        <v>46122.0</v>
      </c>
      <c r="F203" s="92">
        <v>46182.0</v>
      </c>
      <c r="G203" s="65" t="s">
        <v>34</v>
      </c>
      <c r="H203" s="69">
        <v>2102.39</v>
      </c>
      <c r="I203" s="69">
        <v>2119.49</v>
      </c>
      <c r="J203" s="98">
        <v>46189.0</v>
      </c>
      <c r="K203" s="78" t="s">
        <v>38</v>
      </c>
      <c r="L203" s="101"/>
      <c r="M203" s="102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8.0" customHeight="1">
      <c r="A204" s="113" t="s">
        <v>394</v>
      </c>
      <c r="B204" s="88" t="s">
        <v>395</v>
      </c>
      <c r="C204" s="90"/>
      <c r="D204" s="88" t="s">
        <v>73</v>
      </c>
      <c r="E204" s="92">
        <v>46112.0</v>
      </c>
      <c r="F204" s="92">
        <v>46182.0</v>
      </c>
      <c r="G204" s="65" t="s">
        <v>34</v>
      </c>
      <c r="H204" s="69">
        <v>2526.32</v>
      </c>
      <c r="I204" s="69">
        <v>2546.86</v>
      </c>
      <c r="J204" s="98">
        <v>46189.0</v>
      </c>
      <c r="K204" s="78" t="s">
        <v>38</v>
      </c>
      <c r="L204" s="101"/>
      <c r="M204" s="102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18.0" customHeight="1">
      <c r="A205" s="113" t="s">
        <v>379</v>
      </c>
      <c r="B205" s="88" t="s">
        <v>396</v>
      </c>
      <c r="C205" s="90"/>
      <c r="D205" s="88" t="s">
        <v>61</v>
      </c>
      <c r="E205" s="92">
        <v>46142.0</v>
      </c>
      <c r="F205" s="92">
        <v>46182.0</v>
      </c>
      <c r="G205" s="65" t="s">
        <v>34</v>
      </c>
      <c r="H205" s="69">
        <v>3133.33</v>
      </c>
      <c r="I205" s="69">
        <v>3158.82</v>
      </c>
      <c r="J205" s="98">
        <v>46189.0</v>
      </c>
      <c r="K205" s="78" t="s">
        <v>38</v>
      </c>
      <c r="L205" s="101"/>
      <c r="M205" s="102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18.0" customHeight="1">
      <c r="A206" s="113" t="s">
        <v>397</v>
      </c>
      <c r="B206" s="88" t="s">
        <v>398</v>
      </c>
      <c r="C206" s="90"/>
      <c r="D206" s="88" t="s">
        <v>73</v>
      </c>
      <c r="E206" s="92">
        <v>46112.0</v>
      </c>
      <c r="F206" s="92">
        <v>46185.0</v>
      </c>
      <c r="G206" s="65" t="s">
        <v>34</v>
      </c>
      <c r="H206" s="69">
        <v>2843.25</v>
      </c>
      <c r="I206" s="69">
        <v>2859.75</v>
      </c>
      <c r="J206" s="98">
        <v>46190.0</v>
      </c>
      <c r="K206" s="78" t="s">
        <v>38</v>
      </c>
      <c r="L206" s="101"/>
      <c r="M206" s="102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18.0" customHeight="1">
      <c r="A207" s="113" t="s">
        <v>362</v>
      </c>
      <c r="B207" s="88" t="s">
        <v>399</v>
      </c>
      <c r="C207" s="90"/>
      <c r="D207" s="88" t="s">
        <v>113</v>
      </c>
      <c r="E207" s="92">
        <v>46140.0</v>
      </c>
      <c r="F207" s="92">
        <v>46185.0</v>
      </c>
      <c r="G207" s="65" t="s">
        <v>34</v>
      </c>
      <c r="H207" s="69">
        <v>1654.13</v>
      </c>
      <c r="I207" s="69">
        <v>1663.73</v>
      </c>
      <c r="J207" s="98">
        <v>46190.0</v>
      </c>
      <c r="K207" s="78" t="s">
        <v>38</v>
      </c>
      <c r="L207" s="101"/>
      <c r="M207" s="102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18.0" customHeight="1">
      <c r="A208" s="113" t="s">
        <v>400</v>
      </c>
      <c r="B208" s="88" t="s">
        <v>401</v>
      </c>
      <c r="C208" s="90"/>
      <c r="D208" s="88" t="s">
        <v>61</v>
      </c>
      <c r="E208" s="92">
        <v>46157.0</v>
      </c>
      <c r="F208" s="92">
        <v>46187.0</v>
      </c>
      <c r="G208" s="65" t="s">
        <v>34</v>
      </c>
      <c r="H208" s="69">
        <v>1940.0</v>
      </c>
      <c r="I208" s="69">
        <v>1949.1</v>
      </c>
      <c r="J208" s="98">
        <v>46191.0</v>
      </c>
      <c r="K208" s="78" t="s">
        <v>38</v>
      </c>
      <c r="L208" s="101"/>
      <c r="M208" s="102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18.0" customHeight="1">
      <c r="A209" s="113" t="s">
        <v>402</v>
      </c>
      <c r="B209" s="88" t="s">
        <v>403</v>
      </c>
      <c r="C209" s="90"/>
      <c r="D209" s="88" t="s">
        <v>73</v>
      </c>
      <c r="E209" s="92">
        <v>46129.0</v>
      </c>
      <c r="F209" s="92">
        <v>46189.0</v>
      </c>
      <c r="G209" s="65" t="s">
        <v>34</v>
      </c>
      <c r="H209" s="69">
        <v>1230.26</v>
      </c>
      <c r="I209" s="69">
        <v>1233.12</v>
      </c>
      <c r="J209" s="98">
        <v>46191.0</v>
      </c>
      <c r="K209" s="78" t="s">
        <v>38</v>
      </c>
      <c r="L209" s="101"/>
      <c r="M209" s="102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18.0" customHeight="1">
      <c r="A210" s="113" t="s">
        <v>379</v>
      </c>
      <c r="B210" s="88" t="s">
        <v>404</v>
      </c>
      <c r="C210" s="90"/>
      <c r="D210" s="88" t="s">
        <v>61</v>
      </c>
      <c r="E210" s="92">
        <v>46142.0</v>
      </c>
      <c r="F210" s="92">
        <v>46189.0</v>
      </c>
      <c r="G210" s="65" t="s">
        <v>34</v>
      </c>
      <c r="H210" s="69">
        <v>3133.33</v>
      </c>
      <c r="I210" s="69">
        <v>3140.6</v>
      </c>
      <c r="J210" s="98">
        <v>46191.0</v>
      </c>
      <c r="K210" s="78" t="s">
        <v>38</v>
      </c>
      <c r="L210" s="101"/>
      <c r="M210" s="102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18.0" customHeight="1">
      <c r="A211" s="113" t="s">
        <v>405</v>
      </c>
      <c r="B211" s="88" t="s">
        <v>406</v>
      </c>
      <c r="C211" s="90"/>
      <c r="D211" s="88" t="s">
        <v>73</v>
      </c>
      <c r="E211" s="92">
        <v>46132.0</v>
      </c>
      <c r="F211" s="92">
        <v>46192.0</v>
      </c>
      <c r="G211" s="65" t="s">
        <v>34</v>
      </c>
      <c r="H211" s="69">
        <v>2698.59</v>
      </c>
      <c r="I211" s="69">
        <v>2717.4</v>
      </c>
      <c r="J211" s="98">
        <v>46198.0</v>
      </c>
      <c r="K211" s="78" t="s">
        <v>38</v>
      </c>
      <c r="L211" s="101"/>
      <c r="M211" s="102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18.0" customHeight="1">
      <c r="A212" s="113" t="s">
        <v>346</v>
      </c>
      <c r="B212" s="88" t="s">
        <v>407</v>
      </c>
      <c r="C212" s="90"/>
      <c r="D212" s="88" t="s">
        <v>113</v>
      </c>
      <c r="E212" s="92">
        <v>46132.0</v>
      </c>
      <c r="F212" s="92">
        <v>46192.0</v>
      </c>
      <c r="G212" s="65" t="s">
        <v>34</v>
      </c>
      <c r="H212" s="69">
        <v>2838.23</v>
      </c>
      <c r="I212" s="69">
        <v>2858.01</v>
      </c>
      <c r="J212" s="98">
        <v>46198.0</v>
      </c>
      <c r="K212" s="78" t="s">
        <v>38</v>
      </c>
      <c r="L212" s="101"/>
      <c r="M212" s="102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18.0" customHeight="1">
      <c r="A213" s="113" t="s">
        <v>408</v>
      </c>
      <c r="B213" s="88" t="s">
        <v>409</v>
      </c>
      <c r="C213" s="90"/>
      <c r="D213" s="88" t="s">
        <v>73</v>
      </c>
      <c r="E213" s="92">
        <v>46132.0</v>
      </c>
      <c r="F213" s="92">
        <v>46193.0</v>
      </c>
      <c r="G213" s="65" t="s">
        <v>34</v>
      </c>
      <c r="H213" s="69">
        <v>3900.05</v>
      </c>
      <c r="I213" s="69">
        <v>3931.77</v>
      </c>
      <c r="J213" s="98">
        <v>46200.0</v>
      </c>
      <c r="K213" s="78" t="s">
        <v>38</v>
      </c>
      <c r="L213" s="101"/>
      <c r="M213" s="102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18.0" customHeight="1">
      <c r="A214" s="113" t="s">
        <v>385</v>
      </c>
      <c r="B214" s="88" t="s">
        <v>410</v>
      </c>
      <c r="C214" s="90"/>
      <c r="D214" s="88" t="s">
        <v>61</v>
      </c>
      <c r="E214" s="92">
        <v>46162.0</v>
      </c>
      <c r="F214" s="92">
        <v>46194.0</v>
      </c>
      <c r="G214" s="65" t="s">
        <v>34</v>
      </c>
      <c r="H214" s="69">
        <v>1980.0</v>
      </c>
      <c r="I214" s="69">
        <v>1993.8</v>
      </c>
      <c r="J214" s="98">
        <v>46200.0</v>
      </c>
      <c r="K214" s="78" t="s">
        <v>38</v>
      </c>
      <c r="L214" s="101"/>
      <c r="M214" s="102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18.0" customHeight="1">
      <c r="A215" s="113" t="s">
        <v>383</v>
      </c>
      <c r="B215" s="88" t="s">
        <v>411</v>
      </c>
      <c r="C215" s="90"/>
      <c r="D215" s="88" t="s">
        <v>66</v>
      </c>
      <c r="E215" s="92">
        <v>46119.0</v>
      </c>
      <c r="F215" s="92">
        <v>46195.0</v>
      </c>
      <c r="G215" s="65" t="s">
        <v>34</v>
      </c>
      <c r="H215" s="69">
        <v>2233.8</v>
      </c>
      <c r="I215" s="69">
        <v>2254.78</v>
      </c>
      <c r="J215" s="98">
        <v>46203.0</v>
      </c>
      <c r="K215" s="78" t="s">
        <v>38</v>
      </c>
      <c r="L215" s="101"/>
      <c r="M215" s="102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18.0" customHeight="1">
      <c r="A216" s="113" t="s">
        <v>412</v>
      </c>
      <c r="B216" s="88" t="s">
        <v>413</v>
      </c>
      <c r="C216" s="90"/>
      <c r="D216" s="88" t="s">
        <v>73</v>
      </c>
      <c r="E216" s="92">
        <v>46133.0</v>
      </c>
      <c r="F216" s="92">
        <v>46195.0</v>
      </c>
      <c r="G216" s="65" t="s">
        <v>34</v>
      </c>
      <c r="H216" s="69">
        <v>2700.03</v>
      </c>
      <c r="I216" s="69">
        <v>2725.14</v>
      </c>
      <c r="J216" s="98">
        <v>46203.0</v>
      </c>
      <c r="K216" s="78" t="s">
        <v>38</v>
      </c>
      <c r="L216" s="101"/>
      <c r="M216" s="102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18.0" customHeight="1">
      <c r="A217" s="113" t="s">
        <v>379</v>
      </c>
      <c r="B217" s="88" t="s">
        <v>414</v>
      </c>
      <c r="C217" s="90"/>
      <c r="D217" s="88" t="s">
        <v>61</v>
      </c>
      <c r="E217" s="92">
        <v>46142.0</v>
      </c>
      <c r="F217" s="92">
        <v>46196.0</v>
      </c>
      <c r="G217" s="65" t="s">
        <v>34</v>
      </c>
      <c r="H217" s="69">
        <v>3133.33</v>
      </c>
      <c r="I217" s="69">
        <v>3162.47</v>
      </c>
      <c r="J217" s="98">
        <v>46204.0</v>
      </c>
      <c r="K217" s="78" t="s">
        <v>38</v>
      </c>
      <c r="L217" s="101"/>
      <c r="M217" s="102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8.0" customHeight="1">
      <c r="A218" s="113" t="s">
        <v>415</v>
      </c>
      <c r="B218" s="88" t="s">
        <v>416</v>
      </c>
      <c r="C218" s="90"/>
      <c r="D218" s="88" t="s">
        <v>73</v>
      </c>
      <c r="E218" s="92">
        <v>46133.0</v>
      </c>
      <c r="F218" s="92">
        <v>46198.0</v>
      </c>
      <c r="G218" s="65" t="s">
        <v>34</v>
      </c>
      <c r="H218" s="69">
        <v>3900.05</v>
      </c>
      <c r="I218" s="69">
        <v>3931.77</v>
      </c>
      <c r="J218" s="98">
        <v>46205.0</v>
      </c>
      <c r="K218" s="78" t="s">
        <v>38</v>
      </c>
      <c r="L218" s="101"/>
      <c r="M218" s="102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8.0" customHeight="1">
      <c r="A219" s="113" t="s">
        <v>417</v>
      </c>
      <c r="B219" s="88" t="s">
        <v>418</v>
      </c>
      <c r="C219" s="90"/>
      <c r="D219" s="88" t="s">
        <v>73</v>
      </c>
      <c r="E219" s="92">
        <v>46139.0</v>
      </c>
      <c r="F219" s="92">
        <v>46199.0</v>
      </c>
      <c r="G219" s="65" t="s">
        <v>34</v>
      </c>
      <c r="H219" s="69">
        <v>826.31</v>
      </c>
      <c r="I219" s="69">
        <v>835.92</v>
      </c>
      <c r="J219" s="98">
        <v>46209.0</v>
      </c>
      <c r="K219" s="78" t="s">
        <v>38</v>
      </c>
      <c r="L219" s="101"/>
      <c r="M219" s="102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8.0" customHeight="1">
      <c r="A220" s="113" t="s">
        <v>365</v>
      </c>
      <c r="B220" s="88" t="s">
        <v>419</v>
      </c>
      <c r="C220" s="90"/>
      <c r="D220" s="88" t="s">
        <v>113</v>
      </c>
      <c r="E220" s="92">
        <v>46139.0</v>
      </c>
      <c r="F220" s="92">
        <v>46199.0</v>
      </c>
      <c r="G220" s="65" t="s">
        <v>34</v>
      </c>
      <c r="H220" s="69">
        <v>2376.52</v>
      </c>
      <c r="I220" s="69">
        <v>2404.16</v>
      </c>
      <c r="J220" s="98">
        <v>46209.0</v>
      </c>
      <c r="K220" s="78" t="s">
        <v>38</v>
      </c>
      <c r="L220" s="101"/>
      <c r="M220" s="102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8.0" customHeight="1">
      <c r="A221" s="113" t="s">
        <v>420</v>
      </c>
      <c r="B221" s="88" t="s">
        <v>421</v>
      </c>
      <c r="C221" s="90"/>
      <c r="D221" s="88" t="s">
        <v>73</v>
      </c>
      <c r="E221" s="92">
        <v>46139.0</v>
      </c>
      <c r="F221" s="92">
        <v>46199.0</v>
      </c>
      <c r="G221" s="65" t="s">
        <v>34</v>
      </c>
      <c r="H221" s="69">
        <v>1017.01</v>
      </c>
      <c r="I221" s="69">
        <v>1028.84</v>
      </c>
      <c r="J221" s="98">
        <v>46209.0</v>
      </c>
      <c r="K221" s="78" t="s">
        <v>38</v>
      </c>
      <c r="L221" s="101"/>
      <c r="M221" s="102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8.0" customHeight="1">
      <c r="A222" s="113" t="s">
        <v>422</v>
      </c>
      <c r="B222" s="88" t="s">
        <v>423</v>
      </c>
      <c r="C222" s="90"/>
      <c r="D222" s="88" t="s">
        <v>73</v>
      </c>
      <c r="E222" s="92">
        <v>46133.0</v>
      </c>
      <c r="F222" s="92">
        <v>46201.0</v>
      </c>
      <c r="G222" s="65" t="s">
        <v>34</v>
      </c>
      <c r="H222" s="69">
        <v>3600.04</v>
      </c>
      <c r="I222" s="69">
        <f>3600.04+158.5</f>
        <v>3758.54</v>
      </c>
      <c r="J222" s="98">
        <v>46216.0</v>
      </c>
      <c r="K222" s="78" t="s">
        <v>63</v>
      </c>
      <c r="L222" s="207"/>
      <c r="M222" s="102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8.0" customHeight="1">
      <c r="A223" s="113" t="s">
        <v>424</v>
      </c>
      <c r="B223" s="88" t="s">
        <v>425</v>
      </c>
      <c r="C223" s="90"/>
      <c r="D223" s="88" t="s">
        <v>73</v>
      </c>
      <c r="E223" s="92">
        <v>46141.0</v>
      </c>
      <c r="F223" s="92">
        <v>46202.0</v>
      </c>
      <c r="G223" s="65" t="s">
        <v>34</v>
      </c>
      <c r="H223" s="69">
        <v>401.28</v>
      </c>
      <c r="I223" s="69">
        <v>480.47</v>
      </c>
      <c r="J223" s="98">
        <v>46211.0</v>
      </c>
      <c r="K223" s="78" t="s">
        <v>38</v>
      </c>
      <c r="L223" s="101"/>
      <c r="M223" s="102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8.0" customHeight="1">
      <c r="A224" s="113" t="s">
        <v>426</v>
      </c>
      <c r="B224" s="88" t="s">
        <v>427</v>
      </c>
      <c r="C224" s="90"/>
      <c r="D224" s="88" t="s">
        <v>73</v>
      </c>
      <c r="E224" s="92">
        <v>46142.0</v>
      </c>
      <c r="F224" s="92">
        <v>46202.0</v>
      </c>
      <c r="G224" s="65" t="s">
        <v>34</v>
      </c>
      <c r="H224" s="69">
        <v>1073.6</v>
      </c>
      <c r="I224" s="69">
        <v>1159.84</v>
      </c>
      <c r="J224" s="98">
        <v>46211.0</v>
      </c>
      <c r="K224" s="78" t="s">
        <v>38</v>
      </c>
      <c r="L224" s="101"/>
      <c r="M224" s="102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8.0" customHeight="1">
      <c r="A225" s="113" t="s">
        <v>362</v>
      </c>
      <c r="B225" s="88" t="s">
        <v>428</v>
      </c>
      <c r="C225" s="90"/>
      <c r="D225" s="88" t="s">
        <v>113</v>
      </c>
      <c r="E225" s="92">
        <v>46140.0</v>
      </c>
      <c r="F225" s="92">
        <v>46202.0</v>
      </c>
      <c r="G225" s="65" t="s">
        <v>34</v>
      </c>
      <c r="H225" s="69">
        <v>1654.14</v>
      </c>
      <c r="I225" s="69">
        <v>1746.45</v>
      </c>
      <c r="J225" s="98">
        <v>46211.0</v>
      </c>
      <c r="K225" s="78" t="s">
        <v>38</v>
      </c>
      <c r="L225" s="101"/>
      <c r="M225" s="102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8.0" customHeight="1">
      <c r="A226" s="113" t="s">
        <v>400</v>
      </c>
      <c r="B226" s="88" t="s">
        <v>429</v>
      </c>
      <c r="C226" s="90"/>
      <c r="D226" s="88" t="s">
        <v>61</v>
      </c>
      <c r="E226" s="92">
        <v>46157.0</v>
      </c>
      <c r="F226" s="92">
        <v>46202.0</v>
      </c>
      <c r="G226" s="65" t="s">
        <v>34</v>
      </c>
      <c r="H226" s="69">
        <v>1940.0</v>
      </c>
      <c r="I226" s="69">
        <v>2035.51</v>
      </c>
      <c r="J226" s="98">
        <v>46211.0</v>
      </c>
      <c r="K226" s="78" t="s">
        <v>38</v>
      </c>
      <c r="L226" s="101"/>
      <c r="M226" s="102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8.0" customHeight="1">
      <c r="A227" s="113" t="s">
        <v>430</v>
      </c>
      <c r="B227" s="88" t="s">
        <v>431</v>
      </c>
      <c r="C227" s="90"/>
      <c r="D227" s="88" t="s">
        <v>73</v>
      </c>
      <c r="E227" s="92">
        <v>46140.0</v>
      </c>
      <c r="F227" s="92">
        <v>46202.0</v>
      </c>
      <c r="G227" s="65" t="s">
        <v>34</v>
      </c>
      <c r="H227" s="69">
        <v>665.31</v>
      </c>
      <c r="I227" s="69">
        <v>747.27</v>
      </c>
      <c r="J227" s="98">
        <v>46211.0</v>
      </c>
      <c r="K227" s="78" t="s">
        <v>38</v>
      </c>
      <c r="L227" s="101"/>
      <c r="M227" s="102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8.0" customHeight="1">
      <c r="A228" s="113" t="s">
        <v>379</v>
      </c>
      <c r="B228" s="88" t="s">
        <v>432</v>
      </c>
      <c r="C228" s="90"/>
      <c r="D228" s="88" t="s">
        <v>61</v>
      </c>
      <c r="E228" s="92">
        <v>46142.0</v>
      </c>
      <c r="F228" s="92">
        <v>46203.0</v>
      </c>
      <c r="G228" s="65" t="s">
        <v>34</v>
      </c>
      <c r="H228" s="69">
        <v>3133.33</v>
      </c>
      <c r="I228" s="69">
        <v>3260.12</v>
      </c>
      <c r="J228" s="98">
        <v>46212.0</v>
      </c>
      <c r="K228" s="78" t="s">
        <v>38</v>
      </c>
      <c r="L228" s="101"/>
      <c r="M228" s="102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8.0" customHeight="1">
      <c r="A229" s="113" t="s">
        <v>433</v>
      </c>
      <c r="B229" s="88" t="s">
        <v>434</v>
      </c>
      <c r="C229" s="90"/>
      <c r="D229" s="88" t="s">
        <v>73</v>
      </c>
      <c r="E229" s="92">
        <v>46134.0</v>
      </c>
      <c r="F229" s="92">
        <v>46203.0</v>
      </c>
      <c r="G229" s="65" t="s">
        <v>34</v>
      </c>
      <c r="H229" s="69">
        <v>2349.49</v>
      </c>
      <c r="I229" s="69">
        <v>2449.07</v>
      </c>
      <c r="J229" s="98">
        <v>46212.0</v>
      </c>
      <c r="K229" s="78" t="s">
        <v>38</v>
      </c>
      <c r="L229" s="101"/>
      <c r="M229" s="102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8.0" customHeight="1">
      <c r="A230" s="113" t="s">
        <v>435</v>
      </c>
      <c r="B230" s="88" t="s">
        <v>436</v>
      </c>
      <c r="C230" s="90"/>
      <c r="D230" s="88" t="s">
        <v>73</v>
      </c>
      <c r="E230" s="92">
        <v>46134.0</v>
      </c>
      <c r="F230" s="92">
        <v>46205.0</v>
      </c>
      <c r="G230" s="65" t="s">
        <v>34</v>
      </c>
      <c r="H230" s="69">
        <v>1619.28</v>
      </c>
      <c r="I230" s="69">
        <v>1636.23</v>
      </c>
      <c r="J230" s="98">
        <v>46214.0</v>
      </c>
      <c r="K230" s="78" t="s">
        <v>437</v>
      </c>
      <c r="L230" s="101"/>
      <c r="M230" s="102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8.0" customHeight="1">
      <c r="A231" s="113" t="s">
        <v>438</v>
      </c>
      <c r="B231" s="88" t="s">
        <v>439</v>
      </c>
      <c r="C231" s="90"/>
      <c r="D231" s="88" t="s">
        <v>61</v>
      </c>
      <c r="E231" s="92">
        <v>46149.0</v>
      </c>
      <c r="F231" s="92">
        <v>46207.0</v>
      </c>
      <c r="G231" s="65" t="s">
        <v>34</v>
      </c>
      <c r="H231" s="69">
        <v>1610.0</v>
      </c>
      <c r="I231" s="69">
        <v>1627.02</v>
      </c>
      <c r="J231" s="98">
        <v>46216.0</v>
      </c>
      <c r="K231" s="78" t="s">
        <v>38</v>
      </c>
      <c r="L231" s="101"/>
      <c r="M231" s="102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8.0" customHeight="1">
      <c r="A232" s="147" t="s">
        <v>440</v>
      </c>
      <c r="B232" s="148" t="s">
        <v>441</v>
      </c>
      <c r="C232" s="208"/>
      <c r="D232" s="148" t="s">
        <v>61</v>
      </c>
      <c r="E232" s="209">
        <v>46165.0</v>
      </c>
      <c r="F232" s="209">
        <v>46207.0</v>
      </c>
      <c r="G232" s="210" t="s">
        <v>34</v>
      </c>
      <c r="H232" s="211">
        <f>650+490+1250+265</f>
        <v>2655</v>
      </c>
      <c r="I232" s="212"/>
      <c r="J232" s="213"/>
      <c r="K232" s="214" t="s">
        <v>442</v>
      </c>
      <c r="L232" s="215" t="s">
        <v>443</v>
      </c>
      <c r="M232" s="102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8.0" customHeight="1">
      <c r="A233" s="113" t="s">
        <v>444</v>
      </c>
      <c r="B233" s="88" t="s">
        <v>445</v>
      </c>
      <c r="C233" s="90"/>
      <c r="D233" s="88" t="s">
        <v>73</v>
      </c>
      <c r="E233" s="92">
        <v>46149.0</v>
      </c>
      <c r="F233" s="92">
        <v>46209.0</v>
      </c>
      <c r="G233" s="65" t="s">
        <v>34</v>
      </c>
      <c r="H233" s="69">
        <v>489.3</v>
      </c>
      <c r="I233" s="69">
        <v>569.42</v>
      </c>
      <c r="J233" s="98">
        <v>46218.0</v>
      </c>
      <c r="K233" s="78" t="s">
        <v>38</v>
      </c>
      <c r="L233" s="101"/>
      <c r="M233" s="102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8.0" customHeight="1">
      <c r="A234" s="113" t="s">
        <v>446</v>
      </c>
      <c r="B234" s="88" t="s">
        <v>447</v>
      </c>
      <c r="C234" s="90"/>
      <c r="D234" s="88" t="s">
        <v>73</v>
      </c>
      <c r="E234" s="92">
        <v>46149.0</v>
      </c>
      <c r="F234" s="92">
        <v>46209.0</v>
      </c>
      <c r="G234" s="65" t="s">
        <v>34</v>
      </c>
      <c r="H234" s="69">
        <v>2654.07</v>
      </c>
      <c r="I234" s="69">
        <v>2761.47</v>
      </c>
      <c r="J234" s="98">
        <v>46218.0</v>
      </c>
      <c r="K234" s="78" t="s">
        <v>38</v>
      </c>
      <c r="L234" s="101"/>
      <c r="M234" s="102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18.0" customHeight="1">
      <c r="A235" s="113" t="s">
        <v>448</v>
      </c>
      <c r="B235" s="88" t="s">
        <v>449</v>
      </c>
      <c r="C235" s="90"/>
      <c r="D235" s="88" t="s">
        <v>73</v>
      </c>
      <c r="E235" s="92">
        <v>46149.0</v>
      </c>
      <c r="F235" s="92">
        <v>46209.0</v>
      </c>
      <c r="G235" s="65" t="s">
        <v>34</v>
      </c>
      <c r="H235" s="69">
        <v>489.3</v>
      </c>
      <c r="I235" s="69">
        <v>569.42</v>
      </c>
      <c r="J235" s="98">
        <v>46218.0</v>
      </c>
      <c r="K235" s="78" t="s">
        <v>38</v>
      </c>
      <c r="L235" s="101"/>
      <c r="M235" s="102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18.0" customHeight="1">
      <c r="A236" s="113" t="s">
        <v>385</v>
      </c>
      <c r="B236" s="88" t="s">
        <v>450</v>
      </c>
      <c r="C236" s="90"/>
      <c r="D236" s="88" t="s">
        <v>61</v>
      </c>
      <c r="E236" s="92">
        <v>46162.0</v>
      </c>
      <c r="F236" s="92">
        <v>46209.0</v>
      </c>
      <c r="G236" s="65" t="s">
        <v>34</v>
      </c>
      <c r="H236" s="69">
        <v>1980.0</v>
      </c>
      <c r="I236" s="69">
        <v>2075.72</v>
      </c>
      <c r="J236" s="98">
        <v>46218.0</v>
      </c>
      <c r="K236" s="78" t="s">
        <v>38</v>
      </c>
      <c r="L236" s="101"/>
      <c r="M236" s="102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18.0" customHeight="1">
      <c r="A237" s="113" t="s">
        <v>379</v>
      </c>
      <c r="B237" s="88" t="s">
        <v>451</v>
      </c>
      <c r="C237" s="90"/>
      <c r="D237" s="88" t="s">
        <v>61</v>
      </c>
      <c r="E237" s="92">
        <v>46142.0</v>
      </c>
      <c r="F237" s="92">
        <v>46210.0</v>
      </c>
      <c r="G237" s="65" t="s">
        <v>34</v>
      </c>
      <c r="H237" s="69">
        <v>3133.35</v>
      </c>
      <c r="I237" s="69">
        <v>3260.12</v>
      </c>
      <c r="J237" s="98">
        <v>46219.0</v>
      </c>
      <c r="K237" s="78" t="s">
        <v>38</v>
      </c>
      <c r="L237" s="101"/>
      <c r="M237" s="102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18.0" customHeight="1">
      <c r="A238" s="113" t="s">
        <v>453</v>
      </c>
      <c r="B238" s="88" t="s">
        <v>454</v>
      </c>
      <c r="C238" s="90"/>
      <c r="D238" s="88" t="s">
        <v>73</v>
      </c>
      <c r="E238" s="92">
        <v>46150.0</v>
      </c>
      <c r="F238" s="92">
        <v>46210.0</v>
      </c>
      <c r="G238" s="65" t="s">
        <v>34</v>
      </c>
      <c r="H238" s="69">
        <v>1088.76</v>
      </c>
      <c r="I238" s="69">
        <v>1175.15</v>
      </c>
      <c r="J238" s="98">
        <v>46219.0</v>
      </c>
      <c r="K238" s="78" t="s">
        <v>38</v>
      </c>
      <c r="L238" s="101"/>
      <c r="M238" s="102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18.0" customHeight="1">
      <c r="A239" s="134" t="s">
        <v>455</v>
      </c>
      <c r="B239" s="135" t="s">
        <v>117</v>
      </c>
      <c r="C239" s="136"/>
      <c r="D239" s="135" t="s">
        <v>61</v>
      </c>
      <c r="E239" s="139">
        <v>46196.0</v>
      </c>
      <c r="F239" s="139">
        <v>46213.0</v>
      </c>
      <c r="G239" s="220"/>
      <c r="H239" s="143">
        <v>2400.0</v>
      </c>
      <c r="I239" s="144"/>
      <c r="J239" s="145"/>
      <c r="K239" s="146"/>
      <c r="L239" s="106" t="s">
        <v>67</v>
      </c>
      <c r="M239" s="102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18.0" customHeight="1">
      <c r="A240" s="113" t="s">
        <v>458</v>
      </c>
      <c r="B240" s="88" t="s">
        <v>460</v>
      </c>
      <c r="C240" s="90"/>
      <c r="D240" s="88" t="s">
        <v>73</v>
      </c>
      <c r="E240" s="92">
        <v>46156.0</v>
      </c>
      <c r="F240" s="92">
        <v>46216.0</v>
      </c>
      <c r="G240" s="65" t="s">
        <v>34</v>
      </c>
      <c r="H240" s="69">
        <v>3601.44</v>
      </c>
      <c r="I240" s="69">
        <v>3634.93</v>
      </c>
      <c r="J240" s="98">
        <v>46224.0</v>
      </c>
      <c r="K240" s="78" t="s">
        <v>38</v>
      </c>
      <c r="L240" s="101"/>
      <c r="M240" s="102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18.0" customHeight="1">
      <c r="A241" s="113" t="s">
        <v>400</v>
      </c>
      <c r="B241" s="88" t="s">
        <v>463</v>
      </c>
      <c r="C241" s="90"/>
      <c r="D241" s="88" t="s">
        <v>61</v>
      </c>
      <c r="E241" s="92">
        <v>46157.0</v>
      </c>
      <c r="F241" s="92">
        <v>46217.0</v>
      </c>
      <c r="G241" s="65" t="s">
        <v>34</v>
      </c>
      <c r="H241" s="69">
        <v>1940.0</v>
      </c>
      <c r="I241" s="69">
        <v>1955.94</v>
      </c>
      <c r="J241" s="98">
        <v>46224.0</v>
      </c>
      <c r="K241" s="78" t="s">
        <v>38</v>
      </c>
      <c r="L241" s="101"/>
      <c r="M241" s="102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18.0" customHeight="1">
      <c r="A242" s="113" t="s">
        <v>465</v>
      </c>
      <c r="B242" s="88" t="s">
        <v>466</v>
      </c>
      <c r="C242" s="90"/>
      <c r="D242" s="88" t="s">
        <v>61</v>
      </c>
      <c r="E242" s="92">
        <v>46174.0</v>
      </c>
      <c r="F242" s="92">
        <v>46217.0</v>
      </c>
      <c r="G242" s="65" t="s">
        <v>34</v>
      </c>
      <c r="H242" s="69">
        <v>1903.33</v>
      </c>
      <c r="I242" s="69">
        <v>1918.97</v>
      </c>
      <c r="J242" s="98">
        <v>46224.0</v>
      </c>
      <c r="K242" s="78" t="s">
        <v>38</v>
      </c>
      <c r="L242" s="101"/>
      <c r="M242" s="102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18.0" customHeight="1">
      <c r="A243" s="134" t="s">
        <v>455</v>
      </c>
      <c r="B243" s="135" t="s">
        <v>117</v>
      </c>
      <c r="C243" s="136"/>
      <c r="D243" s="135" t="s">
        <v>61</v>
      </c>
      <c r="E243" s="139">
        <v>46196.0</v>
      </c>
      <c r="F243" s="139">
        <v>46218.0</v>
      </c>
      <c r="G243" s="220"/>
      <c r="H243" s="143">
        <v>2400.0</v>
      </c>
      <c r="I243" s="165"/>
      <c r="J243" s="145"/>
      <c r="K243" s="146"/>
      <c r="L243" s="106" t="s">
        <v>67</v>
      </c>
      <c r="M243" s="102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ht="18.0" customHeight="1">
      <c r="A244" s="113" t="s">
        <v>469</v>
      </c>
      <c r="B244" s="88" t="s">
        <v>470</v>
      </c>
      <c r="C244" s="90"/>
      <c r="D244" s="88" t="s">
        <v>113</v>
      </c>
      <c r="E244" s="92">
        <v>46161.0</v>
      </c>
      <c r="F244" s="92">
        <v>46223.0</v>
      </c>
      <c r="G244" s="65" t="s">
        <v>34</v>
      </c>
      <c r="H244" s="69">
        <v>1045.7</v>
      </c>
      <c r="I244" s="69">
        <v>1054.21</v>
      </c>
      <c r="J244" s="98">
        <v>46230.0</v>
      </c>
      <c r="K244" s="78" t="s">
        <v>38</v>
      </c>
      <c r="L244" s="101"/>
      <c r="M244" s="102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ht="18.0" customHeight="1">
      <c r="A245" s="113" t="s">
        <v>471</v>
      </c>
      <c r="B245" s="88" t="s">
        <v>472</v>
      </c>
      <c r="C245" s="90"/>
      <c r="D245" s="88" t="s">
        <v>73</v>
      </c>
      <c r="E245" s="92">
        <v>46162.0</v>
      </c>
      <c r="F245" s="92">
        <v>46223.0</v>
      </c>
      <c r="G245" s="65" t="s">
        <v>34</v>
      </c>
      <c r="H245" s="69">
        <v>2140.04</v>
      </c>
      <c r="I245" s="69">
        <v>2157.44</v>
      </c>
      <c r="J245" s="98">
        <v>46230.0</v>
      </c>
      <c r="K245" s="78" t="s">
        <v>38</v>
      </c>
      <c r="L245" s="101"/>
      <c r="M245" s="102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ht="18.0" customHeight="1">
      <c r="A246" s="113" t="s">
        <v>473</v>
      </c>
      <c r="B246" s="88" t="s">
        <v>474</v>
      </c>
      <c r="C246" s="90"/>
      <c r="D246" s="88" t="s">
        <v>73</v>
      </c>
      <c r="E246" s="92">
        <v>46163.0</v>
      </c>
      <c r="F246" s="92">
        <v>46223.0</v>
      </c>
      <c r="G246" s="65" t="s">
        <v>34</v>
      </c>
      <c r="H246" s="69">
        <v>520.95</v>
      </c>
      <c r="I246" s="69">
        <v>525.19</v>
      </c>
      <c r="J246" s="98">
        <v>46230.0</v>
      </c>
      <c r="K246" s="78" t="s">
        <v>38</v>
      </c>
      <c r="L246" s="101"/>
      <c r="M246" s="102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ht="18.0" customHeight="1">
      <c r="A247" s="113" t="s">
        <v>475</v>
      </c>
      <c r="B247" s="88" t="s">
        <v>476</v>
      </c>
      <c r="C247" s="90"/>
      <c r="D247" s="88" t="s">
        <v>73</v>
      </c>
      <c r="E247" s="92">
        <v>46163.0</v>
      </c>
      <c r="F247" s="92">
        <v>46223.0</v>
      </c>
      <c r="G247" s="65" t="s">
        <v>34</v>
      </c>
      <c r="H247" s="69">
        <v>591.35</v>
      </c>
      <c r="I247" s="69">
        <v>596.85</v>
      </c>
      <c r="J247" s="98">
        <v>46231.0</v>
      </c>
      <c r="K247" s="78" t="s">
        <v>437</v>
      </c>
      <c r="L247" s="101"/>
      <c r="M247" s="102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ht="18.0" customHeight="1">
      <c r="A248" s="113" t="s">
        <v>385</v>
      </c>
      <c r="B248" s="88" t="s">
        <v>477</v>
      </c>
      <c r="C248" s="90"/>
      <c r="D248" s="88" t="s">
        <v>61</v>
      </c>
      <c r="E248" s="92">
        <v>46162.0</v>
      </c>
      <c r="F248" s="92">
        <v>46224.0</v>
      </c>
      <c r="G248" s="65" t="s">
        <v>34</v>
      </c>
      <c r="H248" s="69">
        <v>1980.0</v>
      </c>
      <c r="I248" s="69">
        <v>1996.11</v>
      </c>
      <c r="J248" s="98">
        <v>46231.0</v>
      </c>
      <c r="K248" s="78" t="s">
        <v>437</v>
      </c>
      <c r="L248" s="101"/>
      <c r="M248" s="102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ht="18.0" customHeight="1">
      <c r="A249" s="113" t="s">
        <v>478</v>
      </c>
      <c r="B249" s="88" t="s">
        <v>479</v>
      </c>
      <c r="C249" s="90"/>
      <c r="D249" s="88" t="s">
        <v>61</v>
      </c>
      <c r="E249" s="92">
        <v>46160.0</v>
      </c>
      <c r="F249" s="92">
        <v>46224.0</v>
      </c>
      <c r="G249" s="65" t="s">
        <v>34</v>
      </c>
      <c r="H249" s="69">
        <v>1300.0</v>
      </c>
      <c r="I249" s="69">
        <v>1310.58</v>
      </c>
      <c r="J249" s="98">
        <v>46231.0</v>
      </c>
      <c r="K249" s="78" t="s">
        <v>437</v>
      </c>
      <c r="L249" s="101"/>
      <c r="M249" s="102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ht="18.0" customHeight="1">
      <c r="A250" s="134" t="s">
        <v>481</v>
      </c>
      <c r="B250" s="135" t="s">
        <v>482</v>
      </c>
      <c r="C250" s="136"/>
      <c r="D250" s="135" t="s">
        <v>61</v>
      </c>
      <c r="E250" s="139">
        <v>46197.0</v>
      </c>
      <c r="F250" s="139">
        <v>46225.0</v>
      </c>
      <c r="G250" s="220"/>
      <c r="H250" s="143">
        <v>1820.0</v>
      </c>
      <c r="I250" s="165"/>
      <c r="J250" s="145"/>
      <c r="K250" s="146"/>
      <c r="L250" s="106" t="s">
        <v>67</v>
      </c>
      <c r="M250" s="102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ht="18.0" customHeight="1">
      <c r="A251" s="113" t="s">
        <v>484</v>
      </c>
      <c r="B251" s="88" t="s">
        <v>485</v>
      </c>
      <c r="C251" s="90"/>
      <c r="D251" s="88" t="s">
        <v>73</v>
      </c>
      <c r="E251" s="92">
        <v>46162.0</v>
      </c>
      <c r="F251" s="92">
        <v>46226.0</v>
      </c>
      <c r="G251" s="65" t="s">
        <v>34</v>
      </c>
      <c r="H251" s="69">
        <v>2754.36</v>
      </c>
      <c r="I251" s="69">
        <v>2779.98</v>
      </c>
      <c r="J251" s="98">
        <v>46234.0</v>
      </c>
      <c r="K251" s="78" t="s">
        <v>38</v>
      </c>
      <c r="L251" s="101"/>
      <c r="M251" s="102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ht="18.0" customHeight="1">
      <c r="A252" s="113" t="s">
        <v>486</v>
      </c>
      <c r="B252" s="88" t="s">
        <v>487</v>
      </c>
      <c r="C252" s="90"/>
      <c r="D252" s="88" t="s">
        <v>73</v>
      </c>
      <c r="E252" s="92">
        <v>46163.0</v>
      </c>
      <c r="F252" s="92">
        <v>46226.0</v>
      </c>
      <c r="G252" s="95" t="s">
        <v>34</v>
      </c>
      <c r="H252" s="69">
        <v>2470.98</v>
      </c>
      <c r="I252" s="69">
        <v>2493.96</v>
      </c>
      <c r="J252" s="98">
        <v>46234.0</v>
      </c>
      <c r="K252" s="78" t="s">
        <v>38</v>
      </c>
      <c r="L252" s="101"/>
      <c r="M252" s="102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ht="18.0" customHeight="1">
      <c r="A253" s="113" t="s">
        <v>465</v>
      </c>
      <c r="B253" s="88" t="s">
        <v>489</v>
      </c>
      <c r="C253" s="90"/>
      <c r="D253" s="88" t="s">
        <v>61</v>
      </c>
      <c r="E253" s="92">
        <v>46174.0</v>
      </c>
      <c r="F253" s="92">
        <v>46227.0</v>
      </c>
      <c r="G253" s="65" t="s">
        <v>34</v>
      </c>
      <c r="H253" s="69">
        <v>1903.33</v>
      </c>
      <c r="I253" s="69">
        <v>1918.97</v>
      </c>
      <c r="J253" s="98">
        <v>46234.0</v>
      </c>
      <c r="K253" s="78" t="s">
        <v>38</v>
      </c>
      <c r="L253" s="101"/>
      <c r="M253" s="102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ht="18.0" customHeight="1">
      <c r="A254" s="113" t="s">
        <v>491</v>
      </c>
      <c r="B254" s="88" t="s">
        <v>492</v>
      </c>
      <c r="C254" s="90"/>
      <c r="D254" s="88" t="s">
        <v>73</v>
      </c>
      <c r="E254" s="92">
        <v>46162.0</v>
      </c>
      <c r="F254" s="92">
        <v>46228.0</v>
      </c>
      <c r="G254" s="65" t="s">
        <v>34</v>
      </c>
      <c r="H254" s="69">
        <v>2754.36</v>
      </c>
      <c r="I254" s="69">
        <v>2783.18</v>
      </c>
      <c r="J254" s="98">
        <v>46237.0</v>
      </c>
      <c r="K254" s="78" t="s">
        <v>38</v>
      </c>
      <c r="L254" s="101"/>
      <c r="M254" s="102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ht="18.0" customHeight="1">
      <c r="A255" s="113" t="s">
        <v>495</v>
      </c>
      <c r="B255" s="88" t="s">
        <v>496</v>
      </c>
      <c r="C255" s="90"/>
      <c r="D255" s="88" t="s">
        <v>73</v>
      </c>
      <c r="E255" s="92">
        <v>46163.0</v>
      </c>
      <c r="F255" s="92">
        <v>46229.0</v>
      </c>
      <c r="G255" s="95" t="s">
        <v>34</v>
      </c>
      <c r="H255" s="69">
        <v>2147.2</v>
      </c>
      <c r="I255" s="69">
        <v>2167.17</v>
      </c>
      <c r="J255" s="98">
        <v>46237.0</v>
      </c>
      <c r="K255" s="78" t="s">
        <v>38</v>
      </c>
      <c r="L255" s="101"/>
      <c r="M255" s="102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ht="18.0" customHeight="1">
      <c r="A256" s="113" t="s">
        <v>498</v>
      </c>
      <c r="B256" s="88" t="s">
        <v>499</v>
      </c>
      <c r="C256" s="90"/>
      <c r="D256" s="88" t="s">
        <v>61</v>
      </c>
      <c r="E256" s="92">
        <v>46203.0</v>
      </c>
      <c r="F256" s="92">
        <v>46233.0</v>
      </c>
      <c r="G256" s="65" t="s">
        <v>34</v>
      </c>
      <c r="H256" s="69">
        <v>2000.0</v>
      </c>
      <c r="I256" s="69">
        <v>2013.94</v>
      </c>
      <c r="J256" s="98">
        <v>46239.0</v>
      </c>
      <c r="K256" s="78" t="s">
        <v>38</v>
      </c>
      <c r="L256" s="101"/>
      <c r="M256" s="102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ht="18.0" customHeight="1">
      <c r="A257" s="113" t="s">
        <v>465</v>
      </c>
      <c r="B257" s="88" t="s">
        <v>501</v>
      </c>
      <c r="C257" s="90"/>
      <c r="D257" s="88" t="s">
        <v>61</v>
      </c>
      <c r="E257" s="92">
        <v>46174.0</v>
      </c>
      <c r="F257" s="92">
        <v>46237.0</v>
      </c>
      <c r="G257" s="65" t="s">
        <v>34</v>
      </c>
      <c r="H257" s="69">
        <v>1903.34</v>
      </c>
      <c r="I257" s="69">
        <v>1907.8</v>
      </c>
      <c r="J257" s="98">
        <v>46239.0</v>
      </c>
      <c r="K257" s="78" t="s">
        <v>38</v>
      </c>
      <c r="L257" s="101"/>
      <c r="M257" s="102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ht="18.0" customHeight="1">
      <c r="A258" s="113" t="s">
        <v>498</v>
      </c>
      <c r="B258" s="246" t="s">
        <v>502</v>
      </c>
      <c r="C258" s="90"/>
      <c r="D258" s="88" t="s">
        <v>61</v>
      </c>
      <c r="E258" s="92">
        <v>46203.0</v>
      </c>
      <c r="F258" s="92">
        <v>46239.0</v>
      </c>
      <c r="G258" s="65" t="s">
        <v>34</v>
      </c>
      <c r="H258" s="69">
        <v>2000.0</v>
      </c>
      <c r="I258" s="69">
        <v>2011.62</v>
      </c>
      <c r="J258" s="98">
        <v>46244.0</v>
      </c>
      <c r="K258" s="78" t="s">
        <v>38</v>
      </c>
      <c r="L258" s="101"/>
      <c r="M258" s="102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ht="18.0" customHeight="1">
      <c r="A259" s="113" t="s">
        <v>503</v>
      </c>
      <c r="B259" s="246" t="s">
        <v>504</v>
      </c>
      <c r="C259" s="90"/>
      <c r="D259" s="88" t="s">
        <v>61</v>
      </c>
      <c r="E259" s="92">
        <v>46179.0</v>
      </c>
      <c r="F259" s="92">
        <v>46242.0</v>
      </c>
      <c r="G259" s="65" t="s">
        <v>34</v>
      </c>
      <c r="H259" s="69">
        <f>870+290</f>
        <v>1160</v>
      </c>
      <c r="I259" s="69">
        <v>1162.69</v>
      </c>
      <c r="J259" s="98">
        <v>46244.0</v>
      </c>
      <c r="K259" s="78" t="s">
        <v>38</v>
      </c>
      <c r="L259" s="101"/>
      <c r="M259" s="102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ht="18.0" customHeight="1">
      <c r="A260" s="134" t="s">
        <v>505</v>
      </c>
      <c r="B260" s="135" t="s">
        <v>117</v>
      </c>
      <c r="C260" s="136"/>
      <c r="D260" s="135" t="s">
        <v>61</v>
      </c>
      <c r="E260" s="139">
        <v>46209.0</v>
      </c>
      <c r="F260" s="139">
        <v>46242.0</v>
      </c>
      <c r="G260" s="220"/>
      <c r="H260" s="143">
        <f>140+500+1020</f>
        <v>1660</v>
      </c>
      <c r="I260" s="165"/>
      <c r="J260" s="145"/>
      <c r="K260" s="146"/>
      <c r="L260" s="101"/>
      <c r="M260" s="102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ht="18.0" customHeight="1">
      <c r="A261" s="134" t="s">
        <v>506</v>
      </c>
      <c r="B261" s="135" t="s">
        <v>507</v>
      </c>
      <c r="C261" s="136"/>
      <c r="D261" s="135" t="s">
        <v>61</v>
      </c>
      <c r="E261" s="139">
        <v>46189.0</v>
      </c>
      <c r="F261" s="139">
        <v>46247.0</v>
      </c>
      <c r="G261" s="205" t="s">
        <v>34</v>
      </c>
      <c r="H261" s="143">
        <v>2950.0</v>
      </c>
      <c r="I261" s="256" t="s">
        <v>508</v>
      </c>
      <c r="J261" s="145"/>
      <c r="K261" s="146"/>
      <c r="L261" s="101"/>
      <c r="M261" s="102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ht="18.0" customHeight="1">
      <c r="A262" s="134" t="s">
        <v>509</v>
      </c>
      <c r="B262" s="135" t="s">
        <v>510</v>
      </c>
      <c r="C262" s="136"/>
      <c r="D262" s="135" t="s">
        <v>511</v>
      </c>
      <c r="E262" s="139">
        <v>46203.0</v>
      </c>
      <c r="F262" s="139">
        <v>46248.0</v>
      </c>
      <c r="G262" s="257" t="s">
        <v>34</v>
      </c>
      <c r="H262" s="143">
        <v>2892.65</v>
      </c>
      <c r="I262" s="256" t="s">
        <v>508</v>
      </c>
      <c r="J262" s="145"/>
      <c r="K262" s="146"/>
      <c r="L262" s="101"/>
      <c r="M262" s="102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ht="18.0" customHeight="1">
      <c r="A263" s="134" t="s">
        <v>512</v>
      </c>
      <c r="B263" s="135" t="s">
        <v>513</v>
      </c>
      <c r="C263" s="136"/>
      <c r="D263" s="135" t="s">
        <v>61</v>
      </c>
      <c r="E263" s="139">
        <v>46199.0</v>
      </c>
      <c r="F263" s="139">
        <v>46249.0</v>
      </c>
      <c r="G263" s="205" t="s">
        <v>34</v>
      </c>
      <c r="H263" s="143">
        <v>2320.0</v>
      </c>
      <c r="I263" s="165"/>
      <c r="J263" s="145"/>
      <c r="K263" s="146"/>
      <c r="L263" s="101"/>
      <c r="M263" s="102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ht="18.0" customHeight="1">
      <c r="A264" s="134" t="s">
        <v>514</v>
      </c>
      <c r="B264" s="135" t="s">
        <v>515</v>
      </c>
      <c r="C264" s="136"/>
      <c r="D264" s="135" t="s">
        <v>73</v>
      </c>
      <c r="E264" s="139">
        <v>46189.0</v>
      </c>
      <c r="F264" s="139">
        <v>46251.0</v>
      </c>
      <c r="G264" s="257" t="s">
        <v>34</v>
      </c>
      <c r="H264" s="143">
        <v>2723.31</v>
      </c>
      <c r="I264" s="165"/>
      <c r="J264" s="145"/>
      <c r="K264" s="146"/>
      <c r="L264" s="101"/>
      <c r="M264" s="102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ht="18.0" customHeight="1">
      <c r="A265" s="134" t="s">
        <v>516</v>
      </c>
      <c r="B265" s="135" t="s">
        <v>517</v>
      </c>
      <c r="C265" s="136"/>
      <c r="D265" s="135" t="s">
        <v>61</v>
      </c>
      <c r="E265" s="139">
        <v>46189.0</v>
      </c>
      <c r="F265" s="139">
        <v>46252.0</v>
      </c>
      <c r="G265" s="205" t="s">
        <v>34</v>
      </c>
      <c r="H265" s="143">
        <v>1656.0</v>
      </c>
      <c r="I265" s="165"/>
      <c r="J265" s="145"/>
      <c r="K265" s="146"/>
      <c r="L265" s="101"/>
      <c r="M265" s="102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ht="18.0" customHeight="1">
      <c r="A266" s="134" t="s">
        <v>518</v>
      </c>
      <c r="B266" s="135" t="s">
        <v>519</v>
      </c>
      <c r="C266" s="136"/>
      <c r="D266" s="135" t="s">
        <v>73</v>
      </c>
      <c r="E266" s="139">
        <v>46189.0</v>
      </c>
      <c r="F266" s="139">
        <v>46253.0</v>
      </c>
      <c r="G266" s="257" t="s">
        <v>34</v>
      </c>
      <c r="H266" s="143">
        <v>2723.31</v>
      </c>
      <c r="I266" s="165"/>
      <c r="J266" s="145"/>
      <c r="K266" s="146"/>
      <c r="L266" s="101"/>
      <c r="M266" s="102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ht="18.0" customHeight="1">
      <c r="A267" s="134" t="s">
        <v>520</v>
      </c>
      <c r="B267" s="135" t="s">
        <v>521</v>
      </c>
      <c r="C267" s="136"/>
      <c r="D267" s="135" t="s">
        <v>61</v>
      </c>
      <c r="E267" s="139">
        <v>46211.0</v>
      </c>
      <c r="F267" s="139">
        <v>46256.0</v>
      </c>
      <c r="G267" s="257" t="s">
        <v>34</v>
      </c>
      <c r="H267" s="143">
        <v>2800.0</v>
      </c>
      <c r="I267" s="165"/>
      <c r="J267" s="145"/>
      <c r="K267" s="146"/>
      <c r="L267" s="101"/>
      <c r="M267" s="102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ht="18.0" customHeight="1">
      <c r="A268" s="134" t="s">
        <v>522</v>
      </c>
      <c r="B268" s="135" t="s">
        <v>523</v>
      </c>
      <c r="C268" s="136"/>
      <c r="D268" s="135" t="s">
        <v>73</v>
      </c>
      <c r="E268" s="139">
        <v>46197.0</v>
      </c>
      <c r="F268" s="139">
        <v>46258.0</v>
      </c>
      <c r="G268" s="257" t="s">
        <v>34</v>
      </c>
      <c r="H268" s="143">
        <f>2486.76-101.76</f>
        <v>2385</v>
      </c>
      <c r="I268" s="165"/>
      <c r="J268" s="145"/>
      <c r="K268" s="146"/>
      <c r="L268" s="101"/>
      <c r="M268" s="102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ht="18.0" customHeight="1">
      <c r="A269" s="134" t="s">
        <v>524</v>
      </c>
      <c r="B269" s="135" t="s">
        <v>482</v>
      </c>
      <c r="C269" s="136"/>
      <c r="D269" s="135" t="s">
        <v>113</v>
      </c>
      <c r="E269" s="139">
        <v>46227.0</v>
      </c>
      <c r="F269" s="139">
        <v>46258.0</v>
      </c>
      <c r="G269" s="220"/>
      <c r="H269" s="143">
        <v>2128.67</v>
      </c>
      <c r="I269" s="165"/>
      <c r="J269" s="145"/>
      <c r="K269" s="146"/>
      <c r="L269" s="101"/>
      <c r="M269" s="102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ht="18.0" customHeight="1">
      <c r="A270" s="134" t="s">
        <v>525</v>
      </c>
      <c r="B270" s="135" t="s">
        <v>526</v>
      </c>
      <c r="C270" s="136"/>
      <c r="D270" s="135" t="s">
        <v>61</v>
      </c>
      <c r="E270" s="139">
        <v>46204.0</v>
      </c>
      <c r="F270" s="139">
        <v>46259.0</v>
      </c>
      <c r="G270" s="205" t="s">
        <v>34</v>
      </c>
      <c r="H270" s="143">
        <v>1500.0</v>
      </c>
      <c r="I270" s="165"/>
      <c r="J270" s="145"/>
      <c r="K270" s="146"/>
      <c r="L270" s="101"/>
      <c r="M270" s="102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ht="18.0" customHeight="1">
      <c r="A271" s="134" t="s">
        <v>527</v>
      </c>
      <c r="B271" s="135" t="s">
        <v>528</v>
      </c>
      <c r="C271" s="136"/>
      <c r="D271" s="135" t="s">
        <v>73</v>
      </c>
      <c r="E271" s="139">
        <v>46197.0</v>
      </c>
      <c r="F271" s="139">
        <v>46261.0</v>
      </c>
      <c r="G271" s="257" t="s">
        <v>34</v>
      </c>
      <c r="H271" s="143">
        <f>2440.24-10.24</f>
        <v>2430</v>
      </c>
      <c r="I271" s="165"/>
      <c r="J271" s="145"/>
      <c r="K271" s="146"/>
      <c r="L271" s="101"/>
      <c r="M271" s="102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ht="18.0" customHeight="1">
      <c r="A272" s="134" t="s">
        <v>529</v>
      </c>
      <c r="B272" s="135" t="s">
        <v>530</v>
      </c>
      <c r="C272" s="136"/>
      <c r="D272" s="135" t="s">
        <v>73</v>
      </c>
      <c r="E272" s="139">
        <v>46204.0</v>
      </c>
      <c r="F272" s="139">
        <v>46265.0</v>
      </c>
      <c r="G272" s="257" t="s">
        <v>34</v>
      </c>
      <c r="H272" s="143">
        <v>2111.89</v>
      </c>
      <c r="I272" s="165"/>
      <c r="J272" s="145"/>
      <c r="K272" s="146"/>
      <c r="L272" s="101"/>
      <c r="M272" s="102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ht="18.0" customHeight="1">
      <c r="A273" s="134" t="s">
        <v>531</v>
      </c>
      <c r="B273" s="135" t="s">
        <v>532</v>
      </c>
      <c r="C273" s="136"/>
      <c r="D273" s="135" t="s">
        <v>73</v>
      </c>
      <c r="E273" s="139">
        <v>46205.0</v>
      </c>
      <c r="F273" s="139">
        <v>46267.0</v>
      </c>
      <c r="G273" s="257" t="s">
        <v>34</v>
      </c>
      <c r="H273" s="143">
        <v>1584.08</v>
      </c>
      <c r="I273" s="165"/>
      <c r="J273" s="145"/>
      <c r="K273" s="146"/>
      <c r="L273" s="101"/>
      <c r="M273" s="102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ht="18.0" customHeight="1">
      <c r="A274" s="134" t="s">
        <v>524</v>
      </c>
      <c r="B274" s="135" t="s">
        <v>482</v>
      </c>
      <c r="C274" s="136"/>
      <c r="D274" s="135" t="s">
        <v>113</v>
      </c>
      <c r="E274" s="139">
        <v>46227.0</v>
      </c>
      <c r="F274" s="139">
        <v>46267.0</v>
      </c>
      <c r="G274" s="220"/>
      <c r="H274" s="143">
        <v>2128.67</v>
      </c>
      <c r="I274" s="165"/>
      <c r="J274" s="145"/>
      <c r="K274" s="146"/>
      <c r="L274" s="101"/>
      <c r="M274" s="102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ht="18.0" customHeight="1">
      <c r="A275" s="134" t="s">
        <v>533</v>
      </c>
      <c r="B275" s="135" t="s">
        <v>534</v>
      </c>
      <c r="C275" s="136"/>
      <c r="D275" s="135" t="s">
        <v>73</v>
      </c>
      <c r="E275" s="139">
        <v>46209.0</v>
      </c>
      <c r="F275" s="139">
        <v>46269.0</v>
      </c>
      <c r="G275" s="257" t="s">
        <v>34</v>
      </c>
      <c r="H275" s="143">
        <v>2376.07</v>
      </c>
      <c r="I275" s="165"/>
      <c r="J275" s="145"/>
      <c r="K275" s="146"/>
      <c r="L275" s="101"/>
      <c r="M275" s="102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ht="18.0" customHeight="1">
      <c r="A276" s="134" t="s">
        <v>525</v>
      </c>
      <c r="B276" s="135" t="s">
        <v>482</v>
      </c>
      <c r="C276" s="136"/>
      <c r="D276" s="135" t="s">
        <v>61</v>
      </c>
      <c r="E276" s="139">
        <v>46204.0</v>
      </c>
      <c r="F276" s="139">
        <v>46269.0</v>
      </c>
      <c r="G276" s="220"/>
      <c r="H276" s="143">
        <v>1500.0</v>
      </c>
      <c r="I276" s="165"/>
      <c r="J276" s="145"/>
      <c r="K276" s="146"/>
      <c r="L276" s="101"/>
      <c r="M276" s="102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ht="18.0" customHeight="1">
      <c r="A277" s="134" t="s">
        <v>536</v>
      </c>
      <c r="B277" s="135" t="s">
        <v>537</v>
      </c>
      <c r="C277" s="136"/>
      <c r="D277" s="135" t="s">
        <v>73</v>
      </c>
      <c r="E277" s="139">
        <v>46209.0</v>
      </c>
      <c r="F277" s="139">
        <v>46269.0</v>
      </c>
      <c r="G277" s="257" t="s">
        <v>34</v>
      </c>
      <c r="H277" s="143">
        <v>2440.24</v>
      </c>
      <c r="I277" s="165"/>
      <c r="J277" s="145"/>
      <c r="K277" s="146"/>
      <c r="L277" s="101"/>
      <c r="M277" s="102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ht="18.0" customHeight="1">
      <c r="A278" s="134" t="s">
        <v>538</v>
      </c>
      <c r="B278" s="135"/>
      <c r="C278" s="136"/>
      <c r="D278" s="135" t="s">
        <v>61</v>
      </c>
      <c r="E278" s="139">
        <v>46212.0</v>
      </c>
      <c r="F278" s="139">
        <v>46270.0</v>
      </c>
      <c r="G278" s="220"/>
      <c r="H278" s="143">
        <v>1260.0</v>
      </c>
      <c r="I278" s="165"/>
      <c r="J278" s="145"/>
      <c r="K278" s="146"/>
      <c r="L278" s="101"/>
      <c r="M278" s="102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ht="18.0" customHeight="1">
      <c r="A279" s="134" t="s">
        <v>539</v>
      </c>
      <c r="B279" s="135" t="s">
        <v>482</v>
      </c>
      <c r="C279" s="136"/>
      <c r="D279" s="135" t="s">
        <v>113</v>
      </c>
      <c r="E279" s="139">
        <v>46227.0</v>
      </c>
      <c r="F279" s="139">
        <v>46272.0</v>
      </c>
      <c r="G279" s="220"/>
      <c r="H279" s="143">
        <v>2481.2</v>
      </c>
      <c r="I279" s="165"/>
      <c r="J279" s="145"/>
      <c r="K279" s="146"/>
      <c r="L279" s="101"/>
      <c r="M279" s="102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ht="18.0" customHeight="1">
      <c r="A280" s="134" t="s">
        <v>540</v>
      </c>
      <c r="B280" s="135" t="s">
        <v>541</v>
      </c>
      <c r="C280" s="136"/>
      <c r="D280" s="135" t="s">
        <v>73</v>
      </c>
      <c r="E280" s="139">
        <v>46209.0</v>
      </c>
      <c r="F280" s="139">
        <v>46272.0</v>
      </c>
      <c r="G280" s="257" t="s">
        <v>34</v>
      </c>
      <c r="H280" s="143">
        <v>3299.93</v>
      </c>
      <c r="I280" s="165"/>
      <c r="J280" s="145"/>
      <c r="K280" s="146"/>
      <c r="L280" s="101"/>
      <c r="M280" s="102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ht="18.0" customHeight="1">
      <c r="A281" s="134" t="s">
        <v>524</v>
      </c>
      <c r="B281" s="135" t="s">
        <v>482</v>
      </c>
      <c r="C281" s="136"/>
      <c r="D281" s="135" t="s">
        <v>113</v>
      </c>
      <c r="E281" s="139">
        <v>46227.0</v>
      </c>
      <c r="F281" s="139">
        <v>46276.0</v>
      </c>
      <c r="G281" s="220"/>
      <c r="H281" s="143">
        <v>2128.67</v>
      </c>
      <c r="I281" s="165"/>
      <c r="J281" s="145"/>
      <c r="K281" s="146"/>
      <c r="L281" s="101"/>
      <c r="M281" s="102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ht="18.0" customHeight="1">
      <c r="A282" s="134" t="s">
        <v>542</v>
      </c>
      <c r="B282" s="135" t="s">
        <v>482</v>
      </c>
      <c r="C282" s="136"/>
      <c r="D282" s="135" t="s">
        <v>61</v>
      </c>
      <c r="E282" s="139">
        <v>46223.0</v>
      </c>
      <c r="F282" s="139">
        <v>46278.0</v>
      </c>
      <c r="G282" s="140"/>
      <c r="H282" s="143">
        <v>2125.0</v>
      </c>
      <c r="I282" s="165"/>
      <c r="J282" s="145"/>
      <c r="K282" s="146"/>
      <c r="L282" s="101"/>
      <c r="M282" s="102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ht="18.0" customHeight="1">
      <c r="A283" s="134" t="s">
        <v>543</v>
      </c>
      <c r="B283" s="135" t="s">
        <v>544</v>
      </c>
      <c r="C283" s="136"/>
      <c r="D283" s="135" t="s">
        <v>73</v>
      </c>
      <c r="E283" s="139">
        <v>46217.0</v>
      </c>
      <c r="F283" s="139">
        <v>46279.0</v>
      </c>
      <c r="G283" s="257" t="s">
        <v>34</v>
      </c>
      <c r="H283" s="143">
        <v>548.42</v>
      </c>
      <c r="I283" s="165"/>
      <c r="J283" s="145"/>
      <c r="K283" s="146"/>
      <c r="L283" s="101"/>
      <c r="M283" s="102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ht="18.0" customHeight="1">
      <c r="A284" s="134" t="s">
        <v>545</v>
      </c>
      <c r="B284" s="135" t="s">
        <v>546</v>
      </c>
      <c r="C284" s="136"/>
      <c r="D284" s="135" t="s">
        <v>73</v>
      </c>
      <c r="E284" s="139">
        <v>46218.0</v>
      </c>
      <c r="F284" s="139">
        <v>46279.0</v>
      </c>
      <c r="G284" s="257" t="s">
        <v>34</v>
      </c>
      <c r="H284" s="143">
        <v>3397.6</v>
      </c>
      <c r="I284" s="165"/>
      <c r="J284" s="145"/>
      <c r="K284" s="146"/>
      <c r="L284" s="101"/>
      <c r="M284" s="102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ht="18.0" customHeight="1">
      <c r="A285" s="134" t="s">
        <v>539</v>
      </c>
      <c r="B285" s="135" t="s">
        <v>482</v>
      </c>
      <c r="C285" s="136"/>
      <c r="D285" s="135" t="s">
        <v>113</v>
      </c>
      <c r="E285" s="139">
        <v>46227.0</v>
      </c>
      <c r="F285" s="139">
        <v>46279.0</v>
      </c>
      <c r="G285" s="220"/>
      <c r="H285" s="143">
        <v>2481.2</v>
      </c>
      <c r="I285" s="165"/>
      <c r="J285" s="145"/>
      <c r="K285" s="146"/>
      <c r="L285" s="101"/>
      <c r="M285" s="102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ht="18.0" customHeight="1">
      <c r="A286" s="134" t="s">
        <v>547</v>
      </c>
      <c r="B286" s="135" t="s">
        <v>548</v>
      </c>
      <c r="C286" s="136"/>
      <c r="D286" s="135" t="s">
        <v>73</v>
      </c>
      <c r="E286" s="139">
        <v>46223.0</v>
      </c>
      <c r="F286" s="139">
        <v>46283.0</v>
      </c>
      <c r="G286" s="257" t="s">
        <v>34</v>
      </c>
      <c r="H286" s="143">
        <v>2252.18</v>
      </c>
      <c r="I286" s="165"/>
      <c r="J286" s="145"/>
      <c r="K286" s="146"/>
      <c r="L286" s="101"/>
      <c r="M286" s="102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ht="18.0" customHeight="1">
      <c r="A287" s="134" t="s">
        <v>549</v>
      </c>
      <c r="B287" s="135"/>
      <c r="C287" s="136"/>
      <c r="D287" s="135" t="s">
        <v>61</v>
      </c>
      <c r="E287" s="139">
        <v>46213.0</v>
      </c>
      <c r="F287" s="139">
        <v>46284.0</v>
      </c>
      <c r="G287" s="258"/>
      <c r="H287" s="143">
        <f>350+270+720</f>
        <v>1340</v>
      </c>
      <c r="I287" s="165"/>
      <c r="J287" s="145"/>
      <c r="K287" s="146"/>
      <c r="L287" s="101"/>
      <c r="M287" s="102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ht="18.0" customHeight="1">
      <c r="A288" s="134" t="s">
        <v>550</v>
      </c>
      <c r="B288" s="135" t="s">
        <v>551</v>
      </c>
      <c r="C288" s="136"/>
      <c r="D288" s="135" t="s">
        <v>73</v>
      </c>
      <c r="E288" s="139">
        <v>46225.0</v>
      </c>
      <c r="F288" s="139">
        <v>46286.0</v>
      </c>
      <c r="G288" s="140" t="s">
        <v>34</v>
      </c>
      <c r="H288" s="143">
        <v>3801.79</v>
      </c>
      <c r="I288" s="165"/>
      <c r="J288" s="145"/>
      <c r="K288" s="146"/>
      <c r="L288" s="101"/>
      <c r="M288" s="102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ht="18.0" customHeight="1">
      <c r="A289" s="134" t="s">
        <v>524</v>
      </c>
      <c r="B289" s="135" t="s">
        <v>482</v>
      </c>
      <c r="C289" s="136"/>
      <c r="D289" s="135" t="s">
        <v>113</v>
      </c>
      <c r="E289" s="139">
        <v>46227.0</v>
      </c>
      <c r="F289" s="139">
        <v>46287.0</v>
      </c>
      <c r="G289" s="220"/>
      <c r="H289" s="143">
        <v>2128.68</v>
      </c>
      <c r="I289" s="165"/>
      <c r="J289" s="145"/>
      <c r="K289" s="146"/>
      <c r="L289" s="101"/>
      <c r="M289" s="102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ht="18.0" customHeight="1">
      <c r="A290" s="134" t="s">
        <v>552</v>
      </c>
      <c r="B290" s="135" t="s">
        <v>482</v>
      </c>
      <c r="C290" s="136"/>
      <c r="D290" s="135" t="s">
        <v>61</v>
      </c>
      <c r="E290" s="139">
        <v>46223.0</v>
      </c>
      <c r="F290" s="139">
        <v>46288.0</v>
      </c>
      <c r="G290" s="140"/>
      <c r="H290" s="143">
        <v>2545.0</v>
      </c>
      <c r="I290" s="165"/>
      <c r="J290" s="145"/>
      <c r="K290" s="146"/>
      <c r="L290" s="101"/>
      <c r="M290" s="102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ht="18.0" customHeight="1">
      <c r="A291" s="134" t="s">
        <v>539</v>
      </c>
      <c r="B291" s="135" t="s">
        <v>482</v>
      </c>
      <c r="C291" s="136"/>
      <c r="D291" s="135" t="s">
        <v>113</v>
      </c>
      <c r="E291" s="139">
        <v>46227.0</v>
      </c>
      <c r="F291" s="139">
        <v>46289.0</v>
      </c>
      <c r="G291" s="220"/>
      <c r="H291" s="143">
        <v>2481.2</v>
      </c>
      <c r="I291" s="165"/>
      <c r="J291" s="145"/>
      <c r="K291" s="146"/>
      <c r="L291" s="101"/>
      <c r="M291" s="102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ht="18.0" customHeight="1">
      <c r="A292" s="134" t="s">
        <v>553</v>
      </c>
      <c r="B292" s="135" t="s">
        <v>554</v>
      </c>
      <c r="C292" s="136"/>
      <c r="D292" s="135" t="s">
        <v>73</v>
      </c>
      <c r="E292" s="139">
        <v>46225.0</v>
      </c>
      <c r="F292" s="139">
        <v>46289.0</v>
      </c>
      <c r="G292" s="140" t="s">
        <v>34</v>
      </c>
      <c r="H292" s="143">
        <v>3005.42</v>
      </c>
      <c r="I292" s="165"/>
      <c r="J292" s="145"/>
      <c r="K292" s="146"/>
      <c r="L292" s="101"/>
      <c r="M292" s="102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ht="18.0" customHeight="1">
      <c r="A293" s="134" t="s">
        <v>555</v>
      </c>
      <c r="B293" s="135" t="s">
        <v>482</v>
      </c>
      <c r="C293" s="136"/>
      <c r="D293" s="135" t="s">
        <v>61</v>
      </c>
      <c r="E293" s="139">
        <v>46230.0</v>
      </c>
      <c r="F293" s="139">
        <v>46292.0</v>
      </c>
      <c r="G293" s="140"/>
      <c r="H293" s="143">
        <v>2200.0</v>
      </c>
      <c r="I293" s="165"/>
      <c r="J293" s="145"/>
      <c r="K293" s="146"/>
      <c r="L293" s="101"/>
      <c r="M293" s="102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ht="18.0" customHeight="1">
      <c r="A294" s="134" t="s">
        <v>556</v>
      </c>
      <c r="B294" s="135" t="s">
        <v>557</v>
      </c>
      <c r="C294" s="136"/>
      <c r="D294" s="135" t="s">
        <v>73</v>
      </c>
      <c r="E294" s="139">
        <v>46225.0</v>
      </c>
      <c r="F294" s="139">
        <v>46292.0</v>
      </c>
      <c r="G294" s="140" t="s">
        <v>34</v>
      </c>
      <c r="H294" s="143">
        <v>3592.45</v>
      </c>
      <c r="I294" s="165"/>
      <c r="J294" s="145"/>
      <c r="K294" s="146"/>
      <c r="L294" s="101"/>
      <c r="M294" s="102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ht="18.0" customHeight="1">
      <c r="A295" s="134" t="s">
        <v>558</v>
      </c>
      <c r="B295" s="135" t="s">
        <v>559</v>
      </c>
      <c r="C295" s="136"/>
      <c r="D295" s="135" t="s">
        <v>73</v>
      </c>
      <c r="E295" s="139">
        <v>46225.0</v>
      </c>
      <c r="F295" s="139">
        <v>46295.0</v>
      </c>
      <c r="G295" s="140" t="s">
        <v>34</v>
      </c>
      <c r="H295" s="143">
        <v>3592.45</v>
      </c>
      <c r="I295" s="165"/>
      <c r="J295" s="145"/>
      <c r="K295" s="146"/>
      <c r="L295" s="101"/>
      <c r="M295" s="102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ht="18.0" customHeight="1">
      <c r="A296" s="134" t="s">
        <v>560</v>
      </c>
      <c r="B296" s="135" t="s">
        <v>482</v>
      </c>
      <c r="C296" s="136"/>
      <c r="D296" s="135" t="s">
        <v>61</v>
      </c>
      <c r="E296" s="139">
        <v>46234.0</v>
      </c>
      <c r="F296" s="139">
        <v>46296.0</v>
      </c>
      <c r="G296" s="140"/>
      <c r="H296" s="143">
        <v>2450.0</v>
      </c>
      <c r="I296" s="165"/>
      <c r="J296" s="145"/>
      <c r="K296" s="146"/>
      <c r="L296" s="101"/>
      <c r="M296" s="102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ht="18.0" customHeight="1">
      <c r="A297" s="134" t="s">
        <v>561</v>
      </c>
      <c r="B297" s="135" t="s">
        <v>562</v>
      </c>
      <c r="C297" s="136"/>
      <c r="D297" s="135" t="s">
        <v>73</v>
      </c>
      <c r="E297" s="139">
        <v>46225.0</v>
      </c>
      <c r="F297" s="139">
        <v>46297.0</v>
      </c>
      <c r="G297" s="140" t="s">
        <v>34</v>
      </c>
      <c r="H297" s="143">
        <v>3592.45</v>
      </c>
      <c r="I297" s="165"/>
      <c r="J297" s="145"/>
      <c r="K297" s="146"/>
      <c r="L297" s="101"/>
      <c r="M297" s="102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ht="18.0" customHeight="1">
      <c r="A298" s="134" t="s">
        <v>563</v>
      </c>
      <c r="B298" s="135" t="s">
        <v>482</v>
      </c>
      <c r="C298" s="136"/>
      <c r="D298" s="135" t="s">
        <v>61</v>
      </c>
      <c r="E298" s="139">
        <v>46234.0</v>
      </c>
      <c r="F298" s="139">
        <v>46300.0</v>
      </c>
      <c r="G298" s="140"/>
      <c r="H298" s="143">
        <v>2800.0</v>
      </c>
      <c r="I298" s="165"/>
      <c r="J298" s="145"/>
      <c r="K298" s="146"/>
      <c r="L298" s="101"/>
      <c r="M298" s="102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ht="18.0" customHeight="1">
      <c r="A299" s="134" t="s">
        <v>564</v>
      </c>
      <c r="B299" s="135" t="s">
        <v>565</v>
      </c>
      <c r="C299" s="136"/>
      <c r="D299" s="135" t="s">
        <v>73</v>
      </c>
      <c r="E299" s="139">
        <v>46225.0</v>
      </c>
      <c r="F299" s="139">
        <v>46300.0</v>
      </c>
      <c r="G299" s="140" t="s">
        <v>34</v>
      </c>
      <c r="H299" s="143">
        <v>3592.45</v>
      </c>
      <c r="I299" s="165"/>
      <c r="J299" s="145"/>
      <c r="K299" s="146"/>
      <c r="L299" s="101"/>
      <c r="M299" s="102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ht="18.0" customHeight="1">
      <c r="A300" s="134" t="s">
        <v>566</v>
      </c>
      <c r="B300" s="135" t="s">
        <v>567</v>
      </c>
      <c r="C300" s="136"/>
      <c r="D300" s="135" t="s">
        <v>73</v>
      </c>
      <c r="E300" s="139">
        <v>46225.0</v>
      </c>
      <c r="F300" s="139">
        <v>46303.0</v>
      </c>
      <c r="G300" s="140" t="s">
        <v>34</v>
      </c>
      <c r="H300" s="143">
        <v>2903.89</v>
      </c>
      <c r="I300" s="165"/>
      <c r="J300" s="145"/>
      <c r="K300" s="146"/>
      <c r="L300" s="101"/>
      <c r="M300" s="102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ht="18.0" customHeight="1">
      <c r="A301" s="134" t="s">
        <v>568</v>
      </c>
      <c r="B301" s="135" t="s">
        <v>569</v>
      </c>
      <c r="C301" s="136"/>
      <c r="D301" s="135" t="s">
        <v>73</v>
      </c>
      <c r="E301" s="139">
        <v>46225.0</v>
      </c>
      <c r="F301" s="139">
        <v>46306.0</v>
      </c>
      <c r="G301" s="140" t="s">
        <v>34</v>
      </c>
      <c r="H301" s="143">
        <v>3484.66</v>
      </c>
      <c r="I301" s="165"/>
      <c r="J301" s="145"/>
      <c r="K301" s="146"/>
      <c r="L301" s="101"/>
      <c r="M301" s="102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ht="18.0" customHeight="1">
      <c r="A302" s="134" t="s">
        <v>570</v>
      </c>
      <c r="B302" s="135" t="s">
        <v>571</v>
      </c>
      <c r="C302" s="136"/>
      <c r="D302" s="135" t="s">
        <v>73</v>
      </c>
      <c r="E302" s="139">
        <v>46239.0</v>
      </c>
      <c r="F302" s="139">
        <v>46308.0</v>
      </c>
      <c r="G302" s="140" t="s">
        <v>34</v>
      </c>
      <c r="H302" s="143">
        <v>2938.15</v>
      </c>
      <c r="I302" s="165"/>
      <c r="J302" s="145"/>
      <c r="K302" s="146"/>
      <c r="L302" s="101"/>
      <c r="M302" s="102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ht="18.0" customHeight="1">
      <c r="A303" s="134" t="s">
        <v>572</v>
      </c>
      <c r="B303" s="135" t="s">
        <v>573</v>
      </c>
      <c r="C303" s="136"/>
      <c r="D303" s="135" t="s">
        <v>73</v>
      </c>
      <c r="E303" s="139">
        <v>46225.0</v>
      </c>
      <c r="F303" s="139">
        <v>46309.0</v>
      </c>
      <c r="G303" s="140" t="s">
        <v>34</v>
      </c>
      <c r="H303" s="143">
        <v>2323.11</v>
      </c>
      <c r="I303" s="165"/>
      <c r="J303" s="145"/>
      <c r="K303" s="146"/>
      <c r="L303" s="101"/>
      <c r="M303" s="102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ht="18.0" customHeight="1">
      <c r="A304" s="134" t="s">
        <v>574</v>
      </c>
      <c r="B304" s="135" t="s">
        <v>575</v>
      </c>
      <c r="C304" s="136"/>
      <c r="D304" s="135" t="s">
        <v>73</v>
      </c>
      <c r="E304" s="139">
        <v>46230.0</v>
      </c>
      <c r="F304" s="139">
        <v>46309.0</v>
      </c>
      <c r="G304" s="140" t="s">
        <v>34</v>
      </c>
      <c r="H304" s="143">
        <v>1055.95</v>
      </c>
      <c r="I304" s="165"/>
      <c r="J304" s="145"/>
      <c r="K304" s="146"/>
      <c r="L304" s="101"/>
      <c r="M304" s="102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ht="18.0" customHeight="1">
      <c r="A305" s="134" t="s">
        <v>576</v>
      </c>
      <c r="B305" s="135" t="s">
        <v>577</v>
      </c>
      <c r="C305" s="136"/>
      <c r="D305" s="135" t="s">
        <v>73</v>
      </c>
      <c r="E305" s="139">
        <v>46230.0</v>
      </c>
      <c r="F305" s="139">
        <v>46309.0</v>
      </c>
      <c r="G305" s="140" t="s">
        <v>34</v>
      </c>
      <c r="H305" s="143">
        <v>422.38</v>
      </c>
      <c r="I305" s="165"/>
      <c r="J305" s="145"/>
      <c r="K305" s="146"/>
      <c r="L305" s="101"/>
      <c r="M305" s="102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ht="18.0" customHeight="1">
      <c r="A306" s="134" t="s">
        <v>578</v>
      </c>
      <c r="B306" s="135" t="s">
        <v>579</v>
      </c>
      <c r="C306" s="136"/>
      <c r="D306" s="135" t="s">
        <v>73</v>
      </c>
      <c r="E306" s="139">
        <v>46239.0</v>
      </c>
      <c r="F306" s="139">
        <v>46310.0</v>
      </c>
      <c r="G306" s="140" t="s">
        <v>34</v>
      </c>
      <c r="H306" s="143">
        <v>2938.15</v>
      </c>
      <c r="I306" s="165"/>
      <c r="J306" s="145"/>
      <c r="K306" s="146"/>
      <c r="L306" s="101"/>
      <c r="M306" s="102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ht="18.0" customHeight="1">
      <c r="A307" s="134" t="s">
        <v>580</v>
      </c>
      <c r="B307" s="135" t="s">
        <v>581</v>
      </c>
      <c r="C307" s="136"/>
      <c r="D307" s="135" t="s">
        <v>73</v>
      </c>
      <c r="E307" s="139">
        <v>46233.0</v>
      </c>
      <c r="F307" s="139">
        <v>46313.0</v>
      </c>
      <c r="G307" s="140" t="s">
        <v>34</v>
      </c>
      <c r="H307" s="143">
        <v>2399.85</v>
      </c>
      <c r="I307" s="165"/>
      <c r="J307" s="145"/>
      <c r="K307" s="146"/>
      <c r="L307" s="101"/>
      <c r="M307" s="102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ht="18.0" customHeight="1">
      <c r="A308" s="134" t="s">
        <v>582</v>
      </c>
      <c r="B308" s="135" t="s">
        <v>583</v>
      </c>
      <c r="C308" s="136"/>
      <c r="D308" s="135" t="s">
        <v>73</v>
      </c>
      <c r="E308" s="139">
        <v>46237.0</v>
      </c>
      <c r="F308" s="139">
        <v>46317.0</v>
      </c>
      <c r="G308" s="140" t="s">
        <v>34</v>
      </c>
      <c r="H308" s="143">
        <f>3959.94-459.94</f>
        <v>3500</v>
      </c>
      <c r="I308" s="259"/>
      <c r="J308" s="145"/>
      <c r="K308" s="146"/>
      <c r="L308" s="101"/>
      <c r="M308" s="102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ht="18.0" customHeight="1">
      <c r="A309" s="134"/>
      <c r="B309" s="135"/>
      <c r="C309" s="136"/>
      <c r="D309" s="135"/>
      <c r="E309" s="139"/>
      <c r="F309" s="139"/>
      <c r="G309" s="220"/>
      <c r="H309" s="143"/>
      <c r="I309" s="165"/>
      <c r="J309" s="145"/>
      <c r="K309" s="146"/>
      <c r="L309" s="101"/>
      <c r="M309" s="102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ht="18.0" customHeight="1">
      <c r="A310" s="134"/>
      <c r="B310" s="135"/>
      <c r="C310" s="136"/>
      <c r="D310" s="135"/>
      <c r="E310" s="139"/>
      <c r="F310" s="139"/>
      <c r="G310" s="220"/>
      <c r="H310" s="143"/>
      <c r="I310" s="165"/>
      <c r="J310" s="145"/>
      <c r="K310" s="146"/>
      <c r="L310" s="101"/>
      <c r="M310" s="102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ht="18.0" customHeight="1">
      <c r="A311" s="134"/>
      <c r="B311" s="135"/>
      <c r="C311" s="136"/>
      <c r="D311" s="135"/>
      <c r="E311" s="139"/>
      <c r="F311" s="139"/>
      <c r="G311" s="220"/>
      <c r="H311" s="143"/>
      <c r="I311" s="165"/>
      <c r="J311" s="145"/>
      <c r="K311" s="146"/>
      <c r="L311" s="101"/>
      <c r="M311" s="102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ht="18.0" customHeight="1">
      <c r="A312" s="134"/>
      <c r="B312" s="135"/>
      <c r="C312" s="136"/>
      <c r="D312" s="135"/>
      <c r="E312" s="139"/>
      <c r="F312" s="139"/>
      <c r="G312" s="220"/>
      <c r="H312" s="143"/>
      <c r="I312" s="145"/>
      <c r="J312" s="145"/>
      <c r="K312" s="146"/>
      <c r="L312" s="101"/>
      <c r="M312" s="102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ht="18.0" customHeight="1">
      <c r="A313" s="134"/>
      <c r="B313" s="135"/>
      <c r="C313" s="136"/>
      <c r="D313" s="135"/>
      <c r="E313" s="139"/>
      <c r="F313" s="139"/>
      <c r="G313" s="220"/>
      <c r="H313" s="143"/>
      <c r="I313" s="165"/>
      <c r="J313" s="145"/>
      <c r="K313" s="146"/>
      <c r="L313" s="101"/>
      <c r="M313" s="102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ht="18.0" customHeight="1">
      <c r="A314" s="134" t="s">
        <v>584</v>
      </c>
      <c r="B314" s="135"/>
      <c r="C314" s="136"/>
      <c r="D314" s="135" t="s">
        <v>73</v>
      </c>
      <c r="E314" s="139">
        <v>46245.0</v>
      </c>
      <c r="F314" s="139">
        <v>46305.0</v>
      </c>
      <c r="G314" s="220"/>
      <c r="H314" s="143">
        <v>1760.71</v>
      </c>
      <c r="I314" s="165"/>
      <c r="J314" s="145"/>
      <c r="K314" s="146"/>
      <c r="L314" s="101"/>
      <c r="M314" s="102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ht="18.0" customHeight="1">
      <c r="A315" s="134" t="s">
        <v>585</v>
      </c>
      <c r="B315" s="135"/>
      <c r="C315" s="136"/>
      <c r="D315" s="135" t="s">
        <v>73</v>
      </c>
      <c r="E315" s="139">
        <v>46245.0</v>
      </c>
      <c r="F315" s="139">
        <v>46305.0</v>
      </c>
      <c r="G315" s="220"/>
      <c r="H315" s="143">
        <v>3071.17</v>
      </c>
      <c r="I315" s="165"/>
      <c r="J315" s="145"/>
      <c r="K315" s="146"/>
      <c r="L315" s="101"/>
      <c r="M315" s="102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ht="18.0" customHeight="1">
      <c r="A316" s="134" t="s">
        <v>586</v>
      </c>
      <c r="B316" s="135"/>
      <c r="C316" s="136"/>
      <c r="D316" s="135" t="s">
        <v>73</v>
      </c>
      <c r="E316" s="139">
        <v>46245.0</v>
      </c>
      <c r="F316" s="139">
        <v>46305.0</v>
      </c>
      <c r="G316" s="220"/>
      <c r="H316" s="143">
        <v>3098.28</v>
      </c>
      <c r="I316" s="165"/>
      <c r="J316" s="145"/>
      <c r="K316" s="146"/>
      <c r="L316" s="101"/>
      <c r="M316" s="102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ht="18.0" customHeight="1">
      <c r="A317" s="134" t="s">
        <v>587</v>
      </c>
      <c r="B317" s="135"/>
      <c r="C317" s="136"/>
      <c r="D317" s="135" t="s">
        <v>61</v>
      </c>
      <c r="E317" s="139">
        <v>46203.0</v>
      </c>
      <c r="F317" s="139">
        <v>46263.0</v>
      </c>
      <c r="G317" s="220"/>
      <c r="H317" s="143">
        <v>3600.0</v>
      </c>
      <c r="I317" s="165"/>
      <c r="J317" s="145"/>
      <c r="K317" s="146"/>
      <c r="L317" s="101"/>
      <c r="M317" s="102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ht="18.0" customHeight="1">
      <c r="A318" s="134"/>
      <c r="B318" s="135"/>
      <c r="C318" s="136"/>
      <c r="D318" s="135"/>
      <c r="E318" s="139"/>
      <c r="F318" s="139"/>
      <c r="G318" s="220"/>
      <c r="H318" s="143"/>
      <c r="I318" s="165"/>
      <c r="J318" s="145"/>
      <c r="K318" s="146"/>
      <c r="L318" s="101"/>
      <c r="M318" s="102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ht="18.0" customHeight="1">
      <c r="A319" s="134"/>
      <c r="B319" s="135"/>
      <c r="C319" s="136"/>
      <c r="D319" s="135"/>
      <c r="E319" s="139"/>
      <c r="F319" s="139"/>
      <c r="G319" s="220"/>
      <c r="H319" s="143"/>
      <c r="I319" s="165"/>
      <c r="J319" s="145"/>
      <c r="K319" s="146"/>
      <c r="L319" s="101"/>
      <c r="M319" s="102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ht="18.0" customHeight="1">
      <c r="A320" s="134"/>
      <c r="B320" s="135"/>
      <c r="C320" s="136"/>
      <c r="D320" s="135"/>
      <c r="E320" s="139"/>
      <c r="F320" s="139"/>
      <c r="G320" s="220"/>
      <c r="H320" s="143"/>
      <c r="I320" s="165"/>
      <c r="J320" s="145"/>
      <c r="K320" s="146"/>
      <c r="L320" s="101"/>
      <c r="M320" s="102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ht="18.0" customHeight="1">
      <c r="A321" s="134"/>
      <c r="B321" s="135"/>
      <c r="C321" s="136"/>
      <c r="D321" s="135"/>
      <c r="E321" s="139"/>
      <c r="F321" s="139"/>
      <c r="G321" s="220"/>
      <c r="H321" s="143"/>
      <c r="I321" s="165"/>
      <c r="J321" s="145"/>
      <c r="K321" s="146"/>
      <c r="L321" s="101"/>
      <c r="M321" s="102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ht="18.0" customHeight="1">
      <c r="A322" s="134"/>
      <c r="B322" s="135"/>
      <c r="C322" s="136"/>
      <c r="D322" s="135"/>
      <c r="E322" s="139"/>
      <c r="F322" s="139"/>
      <c r="G322" s="220"/>
      <c r="H322" s="143"/>
      <c r="I322" s="165"/>
      <c r="J322" s="145"/>
      <c r="K322" s="146"/>
      <c r="L322" s="101"/>
      <c r="M322" s="102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ht="18.0" customHeight="1">
      <c r="A323" s="134"/>
      <c r="B323" s="135"/>
      <c r="C323" s="136"/>
      <c r="D323" s="135"/>
      <c r="E323" s="139"/>
      <c r="F323" s="139"/>
      <c r="G323" s="220"/>
      <c r="H323" s="143"/>
      <c r="I323" s="165"/>
      <c r="J323" s="145"/>
      <c r="K323" s="146"/>
      <c r="L323" s="101"/>
      <c r="M323" s="102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ht="18.0" customHeight="1">
      <c r="A324" s="134"/>
      <c r="B324" s="135"/>
      <c r="C324" s="136"/>
      <c r="D324" s="135"/>
      <c r="E324" s="139"/>
      <c r="F324" s="139"/>
      <c r="G324" s="220"/>
      <c r="H324" s="143"/>
      <c r="I324" s="165"/>
      <c r="J324" s="145"/>
      <c r="K324" s="146"/>
      <c r="L324" s="101"/>
      <c r="M324" s="102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ht="18.0" customHeight="1">
      <c r="A325" s="134"/>
      <c r="B325" s="135"/>
      <c r="C325" s="136"/>
      <c r="D325" s="135"/>
      <c r="E325" s="139"/>
      <c r="F325" s="139"/>
      <c r="G325" s="220"/>
      <c r="H325" s="143"/>
      <c r="I325" s="165"/>
      <c r="J325" s="145"/>
      <c r="K325" s="146"/>
      <c r="L325" s="101"/>
      <c r="M325" s="102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ht="18.0" customHeight="1">
      <c r="A326" s="134" t="s">
        <v>588</v>
      </c>
      <c r="B326" s="135"/>
      <c r="C326" s="136"/>
      <c r="D326" s="135" t="s">
        <v>66</v>
      </c>
      <c r="E326" s="139">
        <v>46210.0</v>
      </c>
      <c r="F326" s="139">
        <v>46285.0</v>
      </c>
      <c r="G326" s="220"/>
      <c r="H326" s="143">
        <v>788.41</v>
      </c>
      <c r="I326" s="165"/>
      <c r="J326" s="145"/>
      <c r="K326" s="146"/>
      <c r="L326" s="101"/>
      <c r="M326" s="102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ht="18.0" customHeight="1">
      <c r="A327" s="105"/>
      <c r="B327" s="105"/>
      <c r="C327" s="260"/>
      <c r="D327" s="105"/>
      <c r="E327" s="261"/>
      <c r="F327" s="261"/>
      <c r="G327" s="262"/>
      <c r="H327" s="263"/>
      <c r="I327" s="264"/>
      <c r="J327" s="265"/>
      <c r="K327" s="266"/>
      <c r="L327" s="101"/>
      <c r="M327" s="102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ht="18.0" customHeight="1">
      <c r="A328" s="105"/>
      <c r="B328" s="105"/>
      <c r="C328" s="260"/>
      <c r="D328" s="105"/>
      <c r="E328" s="261"/>
      <c r="F328" s="261"/>
      <c r="G328" s="262"/>
      <c r="H328" s="263"/>
      <c r="I328" s="264"/>
      <c r="J328" s="265"/>
      <c r="K328" s="266"/>
      <c r="L328" s="101"/>
      <c r="M328" s="102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E329" s="7"/>
      <c r="F329" s="7"/>
      <c r="G329" s="267"/>
      <c r="H329" s="268"/>
      <c r="I329" s="269"/>
      <c r="J329" s="270"/>
      <c r="K329" s="7"/>
    </row>
    <row r="330">
      <c r="E330" s="7"/>
      <c r="F330" s="7"/>
      <c r="G330" s="153"/>
      <c r="H330" s="271"/>
      <c r="I330" s="269"/>
      <c r="J330" s="270"/>
      <c r="K330" s="7"/>
    </row>
    <row r="331">
      <c r="E331" s="7"/>
      <c r="F331" s="7"/>
      <c r="G331" s="153"/>
      <c r="H331" s="271"/>
      <c r="I331" s="269"/>
      <c r="J331" s="270"/>
      <c r="K331" s="7"/>
    </row>
    <row r="332" ht="15.0" customHeight="1">
      <c r="A332" s="272"/>
      <c r="B332" s="7"/>
      <c r="C332" s="7"/>
      <c r="D332" s="7"/>
      <c r="E332" s="7"/>
      <c r="F332" s="7"/>
      <c r="G332" s="153"/>
      <c r="H332" s="271"/>
      <c r="I332" s="269"/>
      <c r="J332" s="270"/>
      <c r="K332" s="7"/>
      <c r="L332" s="10"/>
      <c r="M332" s="12"/>
    </row>
    <row r="333" ht="15.0" customHeight="1">
      <c r="A333" s="272"/>
      <c r="B333" s="7"/>
      <c r="C333" s="7"/>
      <c r="D333" s="7"/>
      <c r="E333" s="7"/>
      <c r="F333" s="7"/>
      <c r="G333" s="153"/>
      <c r="H333" s="271"/>
      <c r="I333" s="269"/>
      <c r="J333" s="270"/>
      <c r="K333" s="7"/>
      <c r="L333" s="10"/>
      <c r="M333" s="12"/>
    </row>
    <row r="334" ht="15.0" customHeight="1">
      <c r="A334" s="272"/>
      <c r="B334" s="7"/>
      <c r="C334" s="7"/>
      <c r="D334" s="7"/>
      <c r="E334" s="7"/>
      <c r="F334" s="7"/>
      <c r="G334" s="153"/>
      <c r="H334" s="271"/>
      <c r="I334" s="269"/>
      <c r="J334" s="270"/>
      <c r="K334" s="7"/>
      <c r="L334" s="10"/>
      <c r="M334" s="12"/>
    </row>
    <row r="335" ht="15.0" customHeight="1">
      <c r="A335" s="272"/>
      <c r="B335" s="7"/>
      <c r="C335" s="7"/>
      <c r="D335" s="7"/>
      <c r="E335" s="7"/>
      <c r="F335" s="7"/>
      <c r="G335" s="153"/>
      <c r="H335" s="271"/>
      <c r="I335" s="269"/>
      <c r="J335" s="270"/>
      <c r="K335" s="7"/>
      <c r="L335" s="10"/>
      <c r="M335" s="12"/>
    </row>
    <row r="336" ht="15.0" customHeight="1">
      <c r="A336" s="272"/>
      <c r="B336" s="7"/>
      <c r="C336" s="7"/>
      <c r="D336" s="7"/>
      <c r="E336" s="7"/>
      <c r="F336" s="7"/>
      <c r="G336" s="153"/>
      <c r="H336" s="271"/>
      <c r="I336" s="269"/>
      <c r="J336" s="270"/>
      <c r="K336" s="7"/>
      <c r="L336" s="10"/>
      <c r="M336" s="12"/>
    </row>
    <row r="337" ht="15.0" customHeight="1">
      <c r="A337" s="272"/>
      <c r="B337" s="7"/>
      <c r="C337" s="7"/>
      <c r="D337" s="7"/>
      <c r="E337" s="7"/>
      <c r="F337" s="7"/>
      <c r="G337" s="153"/>
      <c r="H337" s="273"/>
      <c r="I337" s="269"/>
      <c r="J337" s="270"/>
      <c r="K337" s="7"/>
      <c r="L337" s="10"/>
      <c r="M337" s="12"/>
    </row>
    <row r="338" ht="15.0" customHeight="1">
      <c r="A338" s="272"/>
      <c r="B338" s="7"/>
      <c r="C338" s="7"/>
      <c r="D338" s="7"/>
      <c r="E338" s="7"/>
      <c r="F338" s="7"/>
      <c r="G338" s="153"/>
      <c r="H338" s="271"/>
      <c r="I338" s="269"/>
      <c r="J338" s="270"/>
      <c r="K338" s="7"/>
      <c r="L338" s="10"/>
      <c r="M338" s="12"/>
    </row>
    <row r="339" ht="15.0" customHeight="1">
      <c r="A339" s="272"/>
      <c r="B339" s="7"/>
      <c r="C339" s="7"/>
      <c r="D339" s="7"/>
      <c r="E339" s="7"/>
      <c r="F339" s="7"/>
      <c r="G339" s="153"/>
      <c r="H339" s="273"/>
      <c r="I339" s="269"/>
      <c r="J339" s="270"/>
      <c r="K339" s="7"/>
      <c r="L339" s="10"/>
      <c r="M339" s="12"/>
    </row>
    <row r="340" ht="15.0" customHeight="1">
      <c r="A340" s="272"/>
      <c r="B340" s="7"/>
      <c r="C340" s="7"/>
      <c r="D340" s="7"/>
      <c r="E340" s="7"/>
      <c r="F340" s="7"/>
      <c r="G340" s="153"/>
      <c r="H340" s="271"/>
      <c r="I340" s="269"/>
      <c r="J340" s="270"/>
      <c r="K340" s="7"/>
      <c r="L340" s="10"/>
      <c r="M340" s="12"/>
    </row>
    <row r="341" ht="15.0" customHeight="1">
      <c r="A341" s="272"/>
      <c r="B341" s="7"/>
      <c r="C341" s="7"/>
      <c r="D341" s="7"/>
      <c r="E341" s="7"/>
      <c r="F341" s="7"/>
      <c r="G341" s="153"/>
      <c r="H341" s="273"/>
      <c r="I341" s="269"/>
      <c r="J341" s="270"/>
      <c r="K341" s="7"/>
      <c r="L341" s="10"/>
      <c r="M341" s="12"/>
    </row>
    <row r="342" ht="15.0" customHeight="1">
      <c r="A342" s="272"/>
      <c r="B342" s="7"/>
      <c r="C342" s="7"/>
      <c r="D342" s="7"/>
      <c r="E342" s="7"/>
      <c r="F342" s="7"/>
      <c r="G342" s="153"/>
      <c r="H342" s="271"/>
      <c r="I342" s="269"/>
      <c r="J342" s="270"/>
      <c r="K342" s="7"/>
      <c r="L342" s="10"/>
      <c r="M342" s="12"/>
    </row>
    <row r="343" ht="15.0" customHeight="1">
      <c r="A343" s="272"/>
      <c r="B343" s="7"/>
      <c r="C343" s="7"/>
      <c r="D343" s="7"/>
      <c r="E343" s="7"/>
      <c r="F343" s="7"/>
      <c r="G343" s="153"/>
      <c r="H343" s="273"/>
      <c r="I343" s="269"/>
      <c r="J343" s="270"/>
      <c r="K343" s="7"/>
      <c r="L343" s="10"/>
      <c r="M343" s="12"/>
    </row>
    <row r="344" ht="15.0" customHeight="1">
      <c r="A344" s="272"/>
      <c r="B344" s="7"/>
      <c r="C344" s="7"/>
      <c r="D344" s="7"/>
      <c r="E344" s="7"/>
      <c r="F344" s="7"/>
      <c r="G344" s="153"/>
      <c r="H344" s="271"/>
      <c r="I344" s="269"/>
      <c r="J344" s="270"/>
      <c r="K344" s="7"/>
      <c r="L344" s="10"/>
      <c r="M344" s="12"/>
    </row>
    <row r="345" ht="15.0" customHeight="1">
      <c r="A345" s="272"/>
      <c r="B345" s="7"/>
      <c r="C345" s="7"/>
      <c r="D345" s="7"/>
      <c r="E345" s="7"/>
      <c r="F345" s="7"/>
      <c r="G345" s="153"/>
      <c r="H345" s="273"/>
      <c r="I345" s="269"/>
      <c r="J345" s="270"/>
      <c r="K345" s="7"/>
      <c r="L345" s="10"/>
      <c r="M345" s="12"/>
    </row>
    <row r="346" ht="15.0" customHeight="1">
      <c r="A346" s="272"/>
      <c r="B346" s="7"/>
      <c r="C346" s="7"/>
      <c r="D346" s="7"/>
      <c r="E346" s="7"/>
      <c r="F346" s="7"/>
      <c r="G346" s="153"/>
      <c r="H346" s="271"/>
      <c r="I346" s="269"/>
      <c r="J346" s="270"/>
      <c r="K346" s="7"/>
      <c r="L346" s="10"/>
      <c r="M346" s="12"/>
    </row>
    <row r="347" ht="15.0" customHeight="1">
      <c r="A347" s="272"/>
      <c r="B347" s="7"/>
      <c r="C347" s="7"/>
      <c r="D347" s="7"/>
      <c r="E347" s="7"/>
      <c r="F347" s="7"/>
      <c r="G347" s="153"/>
      <c r="H347" s="271"/>
      <c r="I347" s="269"/>
      <c r="J347" s="270"/>
      <c r="K347" s="7"/>
      <c r="L347" s="10"/>
      <c r="M347" s="12"/>
    </row>
    <row r="348" ht="15.0" customHeight="1">
      <c r="A348" s="272"/>
      <c r="B348" s="7"/>
      <c r="C348" s="7"/>
      <c r="D348" s="7"/>
      <c r="E348" s="7"/>
      <c r="F348" s="7"/>
      <c r="G348" s="153"/>
      <c r="H348" s="271"/>
      <c r="I348" s="269"/>
      <c r="J348" s="270"/>
      <c r="K348" s="7"/>
      <c r="L348" s="10"/>
      <c r="M348" s="12"/>
    </row>
    <row r="349" ht="15.0" customHeight="1">
      <c r="A349" s="272"/>
      <c r="B349" s="7"/>
      <c r="C349" s="7"/>
      <c r="D349" s="7"/>
      <c r="E349" s="7"/>
      <c r="F349" s="7"/>
      <c r="G349" s="153"/>
      <c r="H349" s="271"/>
      <c r="I349" s="269"/>
      <c r="J349" s="270"/>
      <c r="K349" s="7"/>
      <c r="L349" s="10"/>
      <c r="M349" s="12"/>
    </row>
    <row r="350" ht="15.0" customHeight="1">
      <c r="A350" s="272"/>
      <c r="B350" s="7"/>
      <c r="C350" s="7"/>
      <c r="D350" s="7"/>
      <c r="E350" s="7"/>
      <c r="F350" s="7"/>
      <c r="G350" s="153"/>
      <c r="H350" s="271"/>
      <c r="I350" s="269"/>
      <c r="J350" s="270"/>
      <c r="K350" s="7"/>
      <c r="L350" s="10"/>
      <c r="M350" s="12"/>
    </row>
    <row r="351" ht="15.0" customHeight="1">
      <c r="A351" s="272"/>
      <c r="B351" s="7"/>
      <c r="C351" s="7"/>
      <c r="D351" s="7"/>
      <c r="E351" s="7"/>
      <c r="F351" s="7"/>
      <c r="G351" s="153"/>
      <c r="H351" s="271"/>
      <c r="I351" s="269"/>
      <c r="J351" s="270"/>
      <c r="K351" s="7"/>
      <c r="L351" s="10"/>
      <c r="M351" s="12"/>
    </row>
    <row r="352" ht="15.0" customHeight="1">
      <c r="A352" s="272"/>
      <c r="B352" s="7"/>
      <c r="C352" s="7"/>
      <c r="D352" s="7"/>
      <c r="E352" s="7"/>
      <c r="F352" s="7"/>
      <c r="G352" s="153"/>
      <c r="H352" s="271"/>
      <c r="I352" s="269"/>
      <c r="J352" s="270"/>
      <c r="K352" s="7"/>
      <c r="L352" s="10"/>
      <c r="M352" s="12"/>
    </row>
    <row r="353" ht="15.0" customHeight="1">
      <c r="A353" s="272"/>
      <c r="B353" s="7"/>
      <c r="C353" s="7"/>
      <c r="D353" s="7"/>
      <c r="E353" s="7"/>
      <c r="F353" s="7"/>
      <c r="G353" s="153"/>
      <c r="H353" s="271"/>
      <c r="I353" s="269"/>
      <c r="J353" s="270"/>
      <c r="K353" s="7"/>
      <c r="L353" s="10"/>
      <c r="M353" s="12"/>
    </row>
    <row r="354" ht="15.0" customHeight="1">
      <c r="A354" s="272"/>
      <c r="B354" s="7"/>
      <c r="C354" s="7"/>
      <c r="D354" s="7"/>
      <c r="E354" s="7"/>
      <c r="F354" s="7"/>
      <c r="G354" s="153"/>
      <c r="H354" s="271"/>
      <c r="I354" s="269"/>
      <c r="J354" s="270"/>
      <c r="K354" s="7"/>
      <c r="L354" s="10"/>
      <c r="M354" s="12"/>
    </row>
    <row r="355" ht="15.0" customHeight="1">
      <c r="A355" s="272"/>
      <c r="B355" s="7"/>
      <c r="C355" s="7"/>
      <c r="D355" s="7"/>
      <c r="E355" s="7"/>
      <c r="F355" s="7"/>
      <c r="G355" s="153"/>
      <c r="H355" s="271"/>
      <c r="I355" s="269"/>
      <c r="J355" s="270"/>
      <c r="K355" s="7"/>
      <c r="L355" s="10"/>
      <c r="M355" s="12"/>
    </row>
    <row r="356" ht="15.0" customHeight="1">
      <c r="A356" s="272"/>
      <c r="B356" s="7"/>
      <c r="C356" s="7"/>
      <c r="D356" s="7"/>
      <c r="E356" s="7"/>
      <c r="F356" s="7"/>
      <c r="G356" s="153"/>
      <c r="H356" s="271"/>
      <c r="I356" s="269"/>
      <c r="J356" s="270"/>
      <c r="K356" s="7"/>
      <c r="L356" s="10"/>
      <c r="M356" s="12"/>
    </row>
    <row r="357" ht="15.0" customHeight="1">
      <c r="A357" s="272"/>
      <c r="B357" s="7"/>
      <c r="C357" s="7"/>
      <c r="D357" s="7"/>
      <c r="E357" s="7"/>
      <c r="F357" s="7"/>
      <c r="G357" s="153"/>
      <c r="H357" s="271"/>
      <c r="I357" s="269"/>
      <c r="J357" s="270"/>
      <c r="K357" s="7"/>
      <c r="L357" s="10"/>
      <c r="M357" s="12"/>
    </row>
    <row r="358" ht="15.0" customHeight="1">
      <c r="A358" s="272"/>
      <c r="B358" s="7"/>
      <c r="C358" s="7"/>
      <c r="D358" s="7"/>
      <c r="E358" s="7"/>
      <c r="F358" s="7"/>
      <c r="G358" s="153"/>
      <c r="H358" s="271"/>
      <c r="I358" s="269"/>
      <c r="J358" s="270"/>
      <c r="K358" s="7"/>
      <c r="L358" s="10"/>
      <c r="M358" s="12"/>
    </row>
    <row r="359" ht="15.0" customHeight="1">
      <c r="A359" s="272"/>
      <c r="B359" s="7"/>
      <c r="C359" s="7"/>
      <c r="D359" s="7"/>
      <c r="E359" s="7"/>
      <c r="F359" s="7"/>
      <c r="G359" s="153"/>
      <c r="H359" s="271"/>
      <c r="I359" s="269"/>
      <c r="J359" s="270"/>
      <c r="K359" s="7"/>
      <c r="L359" s="10"/>
      <c r="M359" s="12"/>
    </row>
    <row r="360" ht="15.0" customHeight="1">
      <c r="A360" s="272"/>
      <c r="B360" s="7"/>
      <c r="C360" s="7"/>
      <c r="D360" s="7"/>
      <c r="E360" s="7"/>
      <c r="F360" s="7"/>
      <c r="G360" s="153"/>
      <c r="H360" s="271"/>
      <c r="I360" s="269"/>
      <c r="J360" s="270"/>
      <c r="K360" s="7"/>
      <c r="L360" s="10"/>
      <c r="M360" s="12"/>
    </row>
    <row r="361" ht="15.0" customHeight="1">
      <c r="A361" s="272"/>
      <c r="B361" s="7"/>
      <c r="C361" s="7"/>
      <c r="D361" s="7"/>
      <c r="E361" s="7"/>
      <c r="F361" s="7"/>
      <c r="G361" s="153"/>
      <c r="H361" s="271"/>
      <c r="I361" s="269"/>
      <c r="J361" s="270"/>
      <c r="K361" s="7"/>
      <c r="L361" s="10"/>
      <c r="M361" s="12"/>
    </row>
    <row r="362" ht="15.0" customHeight="1">
      <c r="A362" s="272"/>
      <c r="B362" s="7"/>
      <c r="C362" s="7"/>
      <c r="D362" s="7"/>
      <c r="E362" s="7"/>
      <c r="F362" s="7"/>
      <c r="G362" s="153"/>
      <c r="H362" s="271"/>
      <c r="I362" s="269"/>
      <c r="J362" s="270"/>
      <c r="K362" s="7"/>
      <c r="L362" s="10"/>
      <c r="M362" s="12"/>
    </row>
    <row r="363" ht="15.0" customHeight="1">
      <c r="A363" s="272"/>
      <c r="B363" s="7"/>
      <c r="C363" s="7"/>
      <c r="D363" s="7"/>
      <c r="E363" s="7"/>
      <c r="F363" s="7"/>
      <c r="G363" s="153"/>
      <c r="H363" s="271"/>
      <c r="I363" s="269"/>
      <c r="J363" s="270"/>
      <c r="K363" s="7"/>
      <c r="L363" s="10"/>
      <c r="M363" s="12"/>
    </row>
    <row r="364" ht="15.0" customHeight="1">
      <c r="A364" s="272"/>
      <c r="B364" s="7"/>
      <c r="C364" s="7"/>
      <c r="D364" s="7"/>
      <c r="E364" s="7"/>
      <c r="F364" s="7"/>
      <c r="G364" s="153"/>
      <c r="H364" s="271"/>
      <c r="I364" s="269"/>
      <c r="J364" s="270"/>
      <c r="K364" s="7"/>
      <c r="L364" s="10"/>
      <c r="M364" s="12"/>
    </row>
    <row r="365" ht="15.0" customHeight="1">
      <c r="A365" s="272"/>
      <c r="B365" s="7"/>
      <c r="C365" s="7"/>
      <c r="D365" s="7"/>
      <c r="E365" s="7"/>
      <c r="F365" s="7"/>
      <c r="G365" s="153"/>
      <c r="H365" s="271"/>
      <c r="I365" s="269"/>
      <c r="J365" s="270"/>
      <c r="K365" s="7"/>
      <c r="L365" s="10"/>
      <c r="M365" s="12"/>
    </row>
    <row r="366" ht="15.0" customHeight="1">
      <c r="A366" s="272"/>
      <c r="B366" s="7"/>
      <c r="C366" s="7"/>
      <c r="D366" s="7"/>
      <c r="E366" s="7"/>
      <c r="F366" s="7"/>
      <c r="G366" s="153"/>
      <c r="H366" s="271"/>
      <c r="I366" s="269"/>
      <c r="J366" s="270"/>
      <c r="K366" s="7"/>
      <c r="L366" s="10"/>
      <c r="M366" s="12"/>
    </row>
    <row r="367" ht="15.0" customHeight="1">
      <c r="A367" s="272"/>
      <c r="B367" s="7"/>
      <c r="C367" s="7"/>
      <c r="D367" s="7"/>
      <c r="E367" s="7"/>
      <c r="F367" s="7"/>
      <c r="G367" s="153"/>
      <c r="H367" s="271"/>
      <c r="I367" s="269"/>
      <c r="J367" s="270"/>
      <c r="K367" s="7"/>
      <c r="L367" s="10"/>
      <c r="M367" s="12"/>
    </row>
    <row r="368" ht="15.0" customHeight="1">
      <c r="A368" s="272"/>
      <c r="B368" s="7"/>
      <c r="C368" s="7"/>
      <c r="D368" s="7"/>
      <c r="E368" s="7"/>
      <c r="F368" s="7"/>
      <c r="G368" s="153"/>
      <c r="H368" s="271"/>
      <c r="I368" s="269"/>
      <c r="J368" s="270"/>
      <c r="K368" s="7"/>
      <c r="L368" s="10"/>
      <c r="M368" s="12"/>
    </row>
    <row r="369" ht="15.0" customHeight="1">
      <c r="A369" s="272"/>
      <c r="B369" s="7"/>
      <c r="C369" s="7"/>
      <c r="D369" s="7"/>
      <c r="E369" s="7"/>
      <c r="F369" s="7"/>
      <c r="G369" s="153"/>
      <c r="H369" s="271"/>
      <c r="I369" s="269"/>
      <c r="J369" s="270"/>
      <c r="K369" s="7"/>
      <c r="L369" s="10"/>
      <c r="M369" s="12"/>
    </row>
    <row r="370" ht="15.0" customHeight="1">
      <c r="A370" s="272"/>
      <c r="B370" s="7"/>
      <c r="C370" s="7"/>
      <c r="D370" s="7"/>
      <c r="E370" s="7"/>
      <c r="F370" s="7"/>
      <c r="G370" s="153"/>
      <c r="H370" s="271"/>
      <c r="I370" s="269"/>
      <c r="J370" s="270"/>
      <c r="K370" s="7"/>
      <c r="L370" s="10"/>
      <c r="M370" s="12"/>
    </row>
    <row r="371" ht="15.0" customHeight="1">
      <c r="A371" s="272"/>
      <c r="B371" s="7"/>
      <c r="C371" s="7"/>
      <c r="D371" s="7"/>
      <c r="E371" s="7"/>
      <c r="F371" s="7"/>
      <c r="G371" s="153"/>
      <c r="H371" s="271"/>
      <c r="I371" s="269"/>
      <c r="J371" s="270"/>
      <c r="K371" s="7"/>
      <c r="L371" s="10"/>
      <c r="M371" s="12"/>
    </row>
    <row r="372" ht="15.0" customHeight="1">
      <c r="A372" s="272"/>
      <c r="B372" s="7"/>
      <c r="C372" s="7"/>
      <c r="D372" s="7"/>
      <c r="E372" s="7"/>
      <c r="F372" s="7"/>
      <c r="G372" s="153"/>
      <c r="H372" s="271"/>
      <c r="I372" s="269"/>
      <c r="J372" s="270"/>
      <c r="K372" s="7"/>
      <c r="L372" s="10"/>
      <c r="M372" s="12"/>
    </row>
    <row r="373" ht="15.0" customHeight="1">
      <c r="A373" s="272"/>
      <c r="B373" s="7"/>
      <c r="C373" s="7"/>
      <c r="D373" s="7"/>
      <c r="E373" s="7"/>
      <c r="F373" s="7"/>
      <c r="G373" s="153"/>
      <c r="H373" s="271"/>
      <c r="I373" s="269"/>
      <c r="J373" s="270"/>
      <c r="K373" s="7"/>
      <c r="L373" s="10"/>
      <c r="M373" s="12"/>
    </row>
    <row r="374" ht="15.0" customHeight="1">
      <c r="A374" s="272"/>
      <c r="B374" s="7"/>
      <c r="C374" s="7"/>
      <c r="D374" s="7"/>
      <c r="E374" s="7"/>
      <c r="F374" s="7"/>
      <c r="G374" s="153"/>
      <c r="H374" s="271"/>
      <c r="I374" s="269"/>
      <c r="J374" s="270"/>
      <c r="K374" s="7"/>
      <c r="L374" s="10"/>
      <c r="M374" s="12"/>
    </row>
    <row r="375" ht="15.0" customHeight="1">
      <c r="A375" s="272"/>
      <c r="B375" s="7"/>
      <c r="C375" s="7"/>
      <c r="D375" s="7"/>
      <c r="E375" s="7"/>
      <c r="F375" s="7"/>
      <c r="G375" s="153"/>
      <c r="H375" s="271"/>
      <c r="I375" s="269"/>
      <c r="J375" s="270"/>
      <c r="K375" s="7"/>
      <c r="L375" s="10"/>
      <c r="M375" s="12"/>
    </row>
    <row r="376" ht="15.0" customHeight="1">
      <c r="A376" s="272"/>
      <c r="B376" s="7"/>
      <c r="C376" s="7"/>
      <c r="D376" s="7"/>
      <c r="E376" s="7"/>
      <c r="F376" s="7"/>
      <c r="G376" s="153"/>
      <c r="H376" s="271"/>
      <c r="I376" s="269"/>
      <c r="J376" s="270"/>
      <c r="K376" s="7"/>
      <c r="L376" s="10"/>
      <c r="M376" s="12"/>
    </row>
    <row r="377" ht="15.0" customHeight="1">
      <c r="A377" s="272"/>
      <c r="B377" s="7"/>
      <c r="C377" s="7"/>
      <c r="D377" s="7"/>
      <c r="E377" s="7"/>
      <c r="F377" s="7"/>
      <c r="G377" s="153"/>
      <c r="H377" s="271"/>
      <c r="I377" s="269"/>
      <c r="J377" s="270"/>
      <c r="K377" s="7"/>
      <c r="L377" s="10"/>
      <c r="M377" s="12"/>
    </row>
    <row r="378" ht="15.0" customHeight="1">
      <c r="A378" s="272"/>
      <c r="B378" s="7"/>
      <c r="C378" s="7"/>
      <c r="D378" s="7"/>
      <c r="E378" s="7"/>
      <c r="F378" s="7"/>
      <c r="G378" s="153"/>
      <c r="H378" s="271"/>
      <c r="I378" s="269"/>
      <c r="J378" s="270"/>
      <c r="K378" s="7"/>
      <c r="L378" s="10"/>
      <c r="M378" s="12"/>
    </row>
    <row r="379" ht="15.0" customHeight="1">
      <c r="A379" s="272"/>
      <c r="B379" s="7"/>
      <c r="C379" s="7"/>
      <c r="D379" s="7"/>
      <c r="E379" s="7"/>
      <c r="F379" s="7"/>
      <c r="G379" s="153"/>
      <c r="H379" s="271"/>
      <c r="I379" s="269"/>
      <c r="J379" s="270"/>
      <c r="K379" s="7"/>
      <c r="L379" s="10"/>
      <c r="M379" s="12"/>
    </row>
    <row r="380" ht="15.0" customHeight="1">
      <c r="A380" s="272"/>
      <c r="B380" s="7"/>
      <c r="C380" s="7"/>
      <c r="D380" s="7"/>
      <c r="E380" s="7"/>
      <c r="F380" s="7"/>
      <c r="G380" s="153"/>
      <c r="H380" s="271"/>
      <c r="I380" s="269"/>
      <c r="J380" s="270"/>
      <c r="K380" s="7"/>
      <c r="L380" s="10"/>
      <c r="M380" s="12"/>
    </row>
    <row r="381" ht="15.0" customHeight="1">
      <c r="A381" s="272"/>
      <c r="B381" s="7"/>
      <c r="C381" s="7"/>
      <c r="D381" s="7"/>
      <c r="E381" s="7"/>
      <c r="F381" s="7"/>
      <c r="G381" s="153"/>
      <c r="H381" s="271"/>
      <c r="I381" s="269"/>
      <c r="J381" s="270"/>
      <c r="K381" s="7"/>
      <c r="L381" s="10"/>
      <c r="M381" s="12"/>
    </row>
    <row r="382" ht="15.0" customHeight="1">
      <c r="A382" s="272"/>
      <c r="B382" s="7"/>
      <c r="C382" s="7"/>
      <c r="D382" s="7"/>
      <c r="E382" s="7"/>
      <c r="F382" s="7"/>
      <c r="G382" s="153"/>
      <c r="H382" s="271"/>
      <c r="I382" s="269"/>
      <c r="J382" s="270"/>
      <c r="K382" s="7"/>
      <c r="L382" s="10"/>
      <c r="M382" s="12"/>
    </row>
    <row r="383" ht="15.0" customHeight="1">
      <c r="A383" s="272"/>
      <c r="B383" s="7"/>
      <c r="C383" s="7"/>
      <c r="D383" s="7"/>
      <c r="E383" s="7"/>
      <c r="F383" s="7"/>
      <c r="G383" s="153"/>
      <c r="H383" s="271"/>
      <c r="I383" s="269"/>
      <c r="J383" s="270"/>
      <c r="K383" s="7"/>
      <c r="L383" s="10"/>
      <c r="M383" s="12"/>
    </row>
    <row r="384" ht="15.0" customHeight="1">
      <c r="A384" s="272"/>
      <c r="B384" s="7"/>
      <c r="C384" s="7"/>
      <c r="D384" s="7"/>
      <c r="E384" s="7"/>
      <c r="F384" s="7"/>
      <c r="G384" s="153"/>
      <c r="H384" s="271"/>
      <c r="I384" s="269"/>
      <c r="J384" s="270"/>
      <c r="K384" s="7"/>
      <c r="L384" s="10"/>
      <c r="M384" s="12"/>
    </row>
    <row r="385" ht="15.0" customHeight="1">
      <c r="A385" s="272"/>
      <c r="B385" s="7"/>
      <c r="C385" s="7"/>
      <c r="D385" s="7"/>
      <c r="E385" s="7"/>
      <c r="F385" s="7"/>
      <c r="G385" s="153"/>
      <c r="H385" s="271"/>
      <c r="I385" s="269"/>
      <c r="J385" s="270"/>
      <c r="K385" s="7"/>
      <c r="L385" s="10"/>
      <c r="M385" s="12"/>
    </row>
    <row r="386" ht="15.0" customHeight="1">
      <c r="A386" s="272"/>
      <c r="B386" s="7"/>
      <c r="C386" s="7"/>
      <c r="D386" s="7"/>
      <c r="E386" s="7"/>
      <c r="F386" s="7"/>
      <c r="G386" s="153"/>
      <c r="H386" s="271"/>
      <c r="I386" s="269"/>
      <c r="J386" s="270"/>
      <c r="K386" s="7"/>
      <c r="L386" s="10"/>
      <c r="M386" s="12"/>
    </row>
    <row r="387" ht="15.0" customHeight="1">
      <c r="A387" s="272"/>
      <c r="B387" s="7"/>
      <c r="C387" s="7"/>
      <c r="D387" s="7"/>
      <c r="E387" s="7"/>
      <c r="F387" s="7"/>
      <c r="G387" s="153"/>
      <c r="H387" s="271"/>
      <c r="I387" s="269"/>
      <c r="J387" s="270"/>
      <c r="K387" s="7"/>
      <c r="L387" s="10"/>
      <c r="M387" s="12"/>
    </row>
    <row r="388" ht="15.0" customHeight="1">
      <c r="A388" s="272"/>
      <c r="B388" s="7"/>
      <c r="C388" s="7"/>
      <c r="D388" s="7"/>
      <c r="E388" s="7"/>
      <c r="F388" s="7"/>
      <c r="G388" s="153"/>
      <c r="H388" s="271"/>
      <c r="I388" s="269"/>
      <c r="J388" s="270"/>
      <c r="K388" s="7"/>
      <c r="L388" s="10"/>
      <c r="M388" s="12"/>
    </row>
    <row r="389" ht="15.0" customHeight="1">
      <c r="A389" s="272"/>
      <c r="B389" s="7"/>
      <c r="C389" s="7"/>
      <c r="D389" s="7"/>
      <c r="E389" s="7"/>
      <c r="F389" s="7"/>
      <c r="G389" s="153"/>
      <c r="H389" s="271"/>
      <c r="I389" s="269"/>
      <c r="J389" s="270"/>
      <c r="K389" s="7"/>
      <c r="L389" s="10"/>
      <c r="M389" s="12"/>
    </row>
    <row r="390" ht="15.0" customHeight="1">
      <c r="A390" s="272"/>
      <c r="B390" s="7"/>
      <c r="C390" s="7"/>
      <c r="D390" s="7"/>
      <c r="E390" s="7"/>
      <c r="F390" s="7"/>
      <c r="G390" s="153"/>
      <c r="H390" s="271"/>
      <c r="I390" s="269"/>
      <c r="J390" s="270"/>
      <c r="K390" s="7"/>
      <c r="L390" s="10"/>
      <c r="M390" s="12"/>
    </row>
    <row r="391" ht="15.0" customHeight="1">
      <c r="A391" s="272"/>
      <c r="B391" s="7"/>
      <c r="C391" s="7"/>
      <c r="D391" s="7"/>
      <c r="E391" s="7"/>
      <c r="F391" s="7"/>
      <c r="G391" s="153"/>
      <c r="H391" s="271"/>
      <c r="I391" s="269"/>
      <c r="J391" s="270"/>
      <c r="K391" s="7"/>
      <c r="L391" s="10"/>
      <c r="M391" s="12"/>
    </row>
    <row r="392" ht="15.0" customHeight="1">
      <c r="A392" s="272"/>
      <c r="B392" s="7"/>
      <c r="C392" s="7"/>
      <c r="D392" s="7"/>
      <c r="E392" s="7"/>
      <c r="F392" s="7"/>
      <c r="G392" s="153"/>
      <c r="H392" s="271"/>
      <c r="I392" s="269"/>
      <c r="J392" s="270"/>
      <c r="K392" s="7"/>
      <c r="L392" s="10"/>
      <c r="M392" s="12"/>
    </row>
    <row r="393" ht="15.0" customHeight="1">
      <c r="A393" s="272"/>
      <c r="B393" s="7"/>
      <c r="C393" s="7"/>
      <c r="D393" s="7"/>
      <c r="E393" s="7"/>
      <c r="F393" s="7"/>
      <c r="G393" s="153"/>
      <c r="H393" s="271"/>
      <c r="I393" s="269"/>
      <c r="J393" s="270"/>
      <c r="K393" s="7"/>
      <c r="L393" s="10"/>
      <c r="M393" s="12"/>
    </row>
    <row r="394" ht="15.0" customHeight="1">
      <c r="A394" s="272"/>
      <c r="B394" s="7"/>
      <c r="C394" s="7"/>
      <c r="D394" s="7"/>
      <c r="E394" s="7"/>
      <c r="F394" s="7"/>
      <c r="G394" s="153"/>
      <c r="H394" s="271"/>
      <c r="I394" s="269"/>
      <c r="J394" s="270"/>
      <c r="K394" s="7"/>
      <c r="L394" s="10"/>
      <c r="M394" s="12"/>
    </row>
    <row r="395" ht="15.0" customHeight="1">
      <c r="A395" s="272"/>
      <c r="B395" s="7"/>
      <c r="C395" s="7"/>
      <c r="D395" s="7"/>
      <c r="E395" s="7"/>
      <c r="F395" s="7"/>
      <c r="G395" s="153"/>
      <c r="H395" s="271"/>
      <c r="I395" s="269"/>
      <c r="J395" s="270"/>
      <c r="K395" s="7"/>
      <c r="L395" s="10"/>
      <c r="M395" s="12"/>
    </row>
    <row r="396" ht="15.0" customHeight="1">
      <c r="A396" s="272"/>
      <c r="B396" s="7"/>
      <c r="C396" s="7"/>
      <c r="D396" s="7"/>
      <c r="E396" s="7"/>
      <c r="F396" s="7"/>
      <c r="G396" s="153"/>
      <c r="H396" s="271"/>
      <c r="I396" s="269"/>
      <c r="J396" s="270"/>
      <c r="K396" s="7"/>
      <c r="L396" s="10"/>
      <c r="M396" s="12"/>
    </row>
    <row r="397" ht="15.0" customHeight="1">
      <c r="A397" s="272"/>
      <c r="B397" s="7"/>
      <c r="C397" s="7"/>
      <c r="D397" s="7"/>
      <c r="E397" s="7"/>
      <c r="F397" s="7"/>
      <c r="G397" s="153"/>
      <c r="H397" s="271"/>
      <c r="I397" s="269"/>
      <c r="J397" s="270"/>
      <c r="K397" s="7"/>
      <c r="L397" s="10"/>
      <c r="M397" s="12"/>
    </row>
    <row r="398" ht="15.0" customHeight="1">
      <c r="A398" s="272"/>
      <c r="B398" s="7"/>
      <c r="C398" s="7"/>
      <c r="D398" s="7"/>
      <c r="E398" s="7"/>
      <c r="F398" s="7"/>
      <c r="G398" s="153"/>
      <c r="H398" s="271"/>
      <c r="I398" s="269"/>
      <c r="J398" s="270"/>
      <c r="K398" s="7"/>
      <c r="L398" s="10"/>
      <c r="M398" s="12"/>
    </row>
    <row r="399" ht="15.0" customHeight="1">
      <c r="A399" s="272"/>
      <c r="B399" s="7"/>
      <c r="C399" s="7"/>
      <c r="D399" s="7"/>
      <c r="E399" s="7"/>
      <c r="F399" s="7"/>
      <c r="G399" s="153"/>
      <c r="H399" s="271"/>
      <c r="I399" s="269"/>
      <c r="J399" s="270"/>
      <c r="K399" s="7"/>
      <c r="L399" s="10"/>
      <c r="M399" s="12"/>
    </row>
    <row r="400" ht="15.0" customHeight="1">
      <c r="A400" s="272"/>
      <c r="B400" s="7"/>
      <c r="C400" s="7"/>
      <c r="D400" s="7"/>
      <c r="E400" s="7"/>
      <c r="F400" s="7"/>
      <c r="G400" s="153"/>
      <c r="H400" s="271"/>
      <c r="I400" s="269"/>
      <c r="J400" s="270"/>
      <c r="K400" s="7"/>
      <c r="L400" s="10"/>
      <c r="M400" s="12"/>
    </row>
    <row r="401" ht="15.0" customHeight="1">
      <c r="A401" s="272"/>
      <c r="B401" s="7"/>
      <c r="C401" s="7"/>
      <c r="D401" s="7"/>
      <c r="E401" s="7"/>
      <c r="F401" s="7"/>
      <c r="G401" s="153"/>
      <c r="H401" s="271"/>
      <c r="I401" s="269"/>
      <c r="J401" s="270"/>
      <c r="K401" s="7"/>
      <c r="L401" s="10"/>
      <c r="M401" s="12"/>
    </row>
    <row r="402" ht="15.0" customHeight="1">
      <c r="A402" s="272"/>
      <c r="B402" s="7"/>
      <c r="C402" s="7"/>
      <c r="D402" s="7"/>
      <c r="E402" s="7"/>
      <c r="F402" s="7"/>
      <c r="G402" s="153"/>
      <c r="H402" s="271"/>
      <c r="I402" s="269"/>
      <c r="J402" s="270"/>
      <c r="K402" s="7"/>
      <c r="L402" s="10"/>
      <c r="M402" s="12"/>
    </row>
    <row r="403" ht="15.0" customHeight="1">
      <c r="A403" s="272"/>
      <c r="B403" s="7"/>
      <c r="C403" s="7"/>
      <c r="D403" s="7"/>
      <c r="E403" s="7"/>
      <c r="F403" s="7"/>
      <c r="G403" s="153"/>
      <c r="H403" s="271"/>
      <c r="I403" s="269"/>
      <c r="J403" s="270"/>
      <c r="K403" s="7"/>
      <c r="L403" s="10"/>
      <c r="M403" s="12"/>
    </row>
    <row r="404" ht="15.0" customHeight="1">
      <c r="A404" s="272"/>
      <c r="B404" s="7"/>
      <c r="C404" s="7"/>
      <c r="D404" s="7"/>
      <c r="E404" s="7"/>
      <c r="F404" s="7"/>
      <c r="G404" s="153"/>
      <c r="H404" s="271"/>
      <c r="I404" s="269"/>
      <c r="J404" s="270"/>
      <c r="K404" s="7"/>
      <c r="L404" s="10"/>
      <c r="M404" s="12"/>
    </row>
    <row r="405" ht="15.0" customHeight="1">
      <c r="A405" s="272"/>
      <c r="B405" s="7"/>
      <c r="C405" s="7"/>
      <c r="D405" s="7"/>
      <c r="E405" s="7"/>
      <c r="F405" s="7"/>
      <c r="G405" s="153"/>
      <c r="H405" s="271"/>
      <c r="I405" s="269"/>
      <c r="J405" s="270"/>
      <c r="K405" s="7"/>
      <c r="L405" s="10"/>
      <c r="M405" s="12"/>
    </row>
    <row r="406" ht="15.0" customHeight="1">
      <c r="A406" s="272"/>
      <c r="B406" s="7"/>
      <c r="C406" s="7"/>
      <c r="D406" s="7"/>
      <c r="E406" s="7"/>
      <c r="F406" s="7"/>
      <c r="G406" s="153"/>
      <c r="H406" s="271"/>
      <c r="I406" s="269"/>
      <c r="J406" s="270"/>
      <c r="K406" s="7"/>
      <c r="L406" s="10"/>
      <c r="M406" s="12"/>
    </row>
    <row r="407" ht="15.0" customHeight="1">
      <c r="A407" s="272"/>
      <c r="B407" s="7"/>
      <c r="C407" s="7"/>
      <c r="D407" s="7"/>
      <c r="E407" s="7"/>
      <c r="F407" s="7"/>
      <c r="G407" s="153"/>
      <c r="H407" s="271"/>
      <c r="I407" s="269"/>
      <c r="J407" s="270"/>
      <c r="K407" s="7"/>
      <c r="L407" s="10"/>
      <c r="M407" s="12"/>
    </row>
    <row r="408" ht="15.0" customHeight="1">
      <c r="A408" s="272"/>
      <c r="B408" s="7"/>
      <c r="C408" s="7"/>
      <c r="D408" s="7"/>
      <c r="E408" s="7"/>
      <c r="F408" s="7"/>
      <c r="G408" s="153"/>
      <c r="H408" s="271"/>
      <c r="I408" s="269"/>
      <c r="J408" s="270"/>
      <c r="K408" s="7"/>
      <c r="L408" s="10"/>
      <c r="M408" s="12"/>
    </row>
    <row r="409" ht="15.0" customHeight="1">
      <c r="A409" s="272"/>
      <c r="B409" s="7"/>
      <c r="C409" s="7"/>
      <c r="D409" s="7"/>
      <c r="E409" s="7"/>
      <c r="F409" s="7"/>
      <c r="G409" s="153"/>
      <c r="H409" s="271"/>
      <c r="I409" s="269"/>
      <c r="J409" s="270"/>
      <c r="K409" s="7"/>
      <c r="L409" s="10"/>
      <c r="M409" s="12"/>
    </row>
    <row r="410" ht="15.0" customHeight="1">
      <c r="A410" s="272"/>
      <c r="B410" s="7"/>
      <c r="C410" s="7"/>
      <c r="D410" s="7"/>
      <c r="E410" s="7"/>
      <c r="F410" s="7"/>
      <c r="G410" s="153"/>
      <c r="H410" s="271"/>
      <c r="I410" s="269"/>
      <c r="J410" s="270"/>
      <c r="K410" s="7"/>
      <c r="L410" s="10"/>
      <c r="M410" s="12"/>
    </row>
    <row r="411" ht="15.0" customHeight="1">
      <c r="A411" s="272"/>
      <c r="B411" s="7"/>
      <c r="C411" s="7"/>
      <c r="D411" s="7"/>
      <c r="E411" s="7"/>
      <c r="F411" s="7"/>
      <c r="G411" s="153"/>
      <c r="H411" s="271"/>
      <c r="I411" s="269"/>
      <c r="J411" s="270"/>
      <c r="K411" s="7"/>
      <c r="L411" s="10"/>
      <c r="M411" s="12"/>
    </row>
    <row r="412" ht="15.0" customHeight="1">
      <c r="A412" s="272"/>
      <c r="B412" s="7"/>
      <c r="C412" s="7"/>
      <c r="D412" s="7"/>
      <c r="E412" s="7"/>
      <c r="F412" s="7"/>
      <c r="G412" s="153"/>
      <c r="H412" s="271"/>
      <c r="I412" s="269"/>
      <c r="J412" s="270"/>
      <c r="K412" s="7"/>
      <c r="L412" s="10"/>
      <c r="M412" s="12"/>
    </row>
    <row r="413" ht="15.0" customHeight="1">
      <c r="A413" s="272"/>
      <c r="B413" s="7"/>
      <c r="C413" s="7"/>
      <c r="D413" s="7"/>
      <c r="E413" s="7"/>
      <c r="F413" s="7"/>
      <c r="G413" s="153"/>
      <c r="H413" s="271"/>
      <c r="I413" s="269"/>
      <c r="J413" s="270"/>
      <c r="K413" s="7"/>
      <c r="L413" s="10"/>
      <c r="M413" s="12"/>
    </row>
    <row r="414" ht="15.0" customHeight="1">
      <c r="A414" s="272"/>
      <c r="B414" s="7"/>
      <c r="C414" s="7"/>
      <c r="D414" s="7"/>
      <c r="E414" s="7"/>
      <c r="F414" s="7"/>
      <c r="G414" s="153"/>
      <c r="H414" s="271"/>
      <c r="I414" s="269"/>
      <c r="J414" s="270"/>
      <c r="K414" s="7"/>
      <c r="L414" s="10"/>
      <c r="M414" s="12"/>
    </row>
    <row r="415" ht="15.0" customHeight="1">
      <c r="A415" s="272"/>
      <c r="B415" s="7"/>
      <c r="C415" s="7"/>
      <c r="D415" s="7"/>
      <c r="E415" s="7"/>
      <c r="F415" s="7"/>
      <c r="G415" s="153"/>
      <c r="H415" s="271"/>
      <c r="I415" s="269"/>
      <c r="J415" s="270"/>
      <c r="K415" s="7"/>
      <c r="L415" s="10"/>
      <c r="M415" s="12"/>
    </row>
    <row r="416" ht="15.0" customHeight="1">
      <c r="A416" s="272"/>
      <c r="B416" s="7"/>
      <c r="C416" s="7"/>
      <c r="D416" s="7"/>
      <c r="E416" s="7"/>
      <c r="F416" s="7"/>
      <c r="G416" s="153"/>
      <c r="H416" s="271"/>
      <c r="I416" s="269"/>
      <c r="J416" s="270"/>
      <c r="K416" s="7"/>
      <c r="L416" s="10"/>
      <c r="M416" s="12"/>
    </row>
    <row r="417" ht="15.0" customHeight="1">
      <c r="A417" s="272"/>
      <c r="B417" s="7"/>
      <c r="C417" s="7"/>
      <c r="D417" s="7"/>
      <c r="E417" s="7"/>
      <c r="F417" s="7"/>
      <c r="G417" s="153"/>
      <c r="H417" s="271"/>
      <c r="I417" s="269"/>
      <c r="J417" s="270"/>
      <c r="K417" s="7"/>
      <c r="L417" s="10"/>
      <c r="M417" s="12"/>
    </row>
    <row r="418" ht="15.0" customHeight="1">
      <c r="A418" s="272"/>
      <c r="B418" s="7"/>
      <c r="C418" s="7"/>
      <c r="D418" s="7"/>
      <c r="E418" s="7"/>
      <c r="F418" s="7"/>
      <c r="G418" s="153"/>
      <c r="H418" s="271"/>
      <c r="I418" s="269"/>
      <c r="J418" s="270"/>
      <c r="K418" s="7"/>
      <c r="L418" s="10"/>
      <c r="M418" s="12"/>
    </row>
    <row r="419" ht="15.0" customHeight="1">
      <c r="A419" s="272"/>
      <c r="B419" s="7"/>
      <c r="C419" s="7"/>
      <c r="D419" s="7"/>
      <c r="E419" s="7"/>
      <c r="F419" s="7"/>
      <c r="G419" s="153"/>
      <c r="H419" s="271"/>
      <c r="I419" s="269"/>
      <c r="J419" s="270"/>
      <c r="K419" s="7"/>
      <c r="L419" s="10"/>
      <c r="M419" s="12"/>
    </row>
    <row r="420" ht="15.0" customHeight="1">
      <c r="A420" s="272"/>
      <c r="B420" s="7"/>
      <c r="C420" s="7"/>
      <c r="D420" s="7"/>
      <c r="E420" s="7"/>
      <c r="F420" s="7"/>
      <c r="G420" s="153"/>
      <c r="H420" s="271"/>
      <c r="I420" s="269"/>
      <c r="J420" s="270"/>
      <c r="K420" s="7"/>
      <c r="L420" s="10"/>
      <c r="M420" s="12"/>
    </row>
    <row r="421" ht="15.0" customHeight="1">
      <c r="A421" s="272"/>
      <c r="B421" s="7"/>
      <c r="C421" s="7"/>
      <c r="D421" s="7"/>
      <c r="E421" s="7"/>
      <c r="F421" s="7"/>
      <c r="G421" s="153"/>
      <c r="H421" s="271"/>
      <c r="I421" s="269"/>
      <c r="J421" s="270"/>
      <c r="K421" s="7"/>
      <c r="L421" s="10"/>
      <c r="M421" s="12"/>
    </row>
    <row r="422" ht="15.0" customHeight="1">
      <c r="A422" s="272"/>
      <c r="B422" s="7"/>
      <c r="C422" s="7"/>
      <c r="D422" s="7"/>
      <c r="E422" s="7"/>
      <c r="F422" s="7"/>
      <c r="G422" s="153"/>
      <c r="H422" s="271"/>
      <c r="I422" s="269"/>
      <c r="J422" s="270"/>
      <c r="K422" s="7"/>
      <c r="L422" s="10"/>
      <c r="M422" s="12"/>
    </row>
    <row r="423" ht="15.0" customHeight="1">
      <c r="A423" s="272"/>
      <c r="B423" s="7"/>
      <c r="C423" s="7"/>
      <c r="D423" s="7"/>
      <c r="E423" s="7"/>
      <c r="F423" s="7"/>
      <c r="G423" s="153"/>
      <c r="H423" s="271"/>
      <c r="I423" s="269"/>
      <c r="J423" s="270"/>
      <c r="K423" s="7"/>
      <c r="L423" s="10"/>
      <c r="M423" s="12"/>
    </row>
    <row r="424" ht="15.0" customHeight="1">
      <c r="A424" s="272"/>
      <c r="B424" s="7"/>
      <c r="C424" s="7"/>
      <c r="D424" s="7"/>
      <c r="E424" s="7"/>
      <c r="F424" s="7"/>
      <c r="G424" s="153"/>
      <c r="H424" s="271"/>
      <c r="I424" s="269"/>
      <c r="J424" s="270"/>
      <c r="K424" s="7"/>
      <c r="L424" s="10"/>
      <c r="M424" s="12"/>
    </row>
    <row r="425" ht="15.0" customHeight="1">
      <c r="A425" s="272"/>
      <c r="B425" s="7"/>
      <c r="C425" s="7"/>
      <c r="D425" s="7"/>
      <c r="E425" s="7"/>
      <c r="F425" s="7"/>
      <c r="G425" s="153"/>
      <c r="H425" s="271"/>
      <c r="I425" s="269"/>
      <c r="J425" s="270"/>
      <c r="K425" s="7"/>
      <c r="L425" s="10"/>
      <c r="M425" s="12"/>
    </row>
    <row r="426" ht="15.0" customHeight="1">
      <c r="A426" s="272"/>
      <c r="B426" s="7"/>
      <c r="C426" s="7"/>
      <c r="D426" s="7"/>
      <c r="E426" s="7"/>
      <c r="F426" s="7"/>
      <c r="G426" s="153"/>
      <c r="H426" s="271"/>
      <c r="I426" s="269"/>
      <c r="J426" s="270"/>
      <c r="K426" s="7"/>
      <c r="L426" s="10"/>
      <c r="M426" s="12"/>
    </row>
    <row r="427" ht="15.0" customHeight="1">
      <c r="A427" s="272"/>
      <c r="B427" s="7"/>
      <c r="C427" s="7"/>
      <c r="D427" s="7"/>
      <c r="E427" s="7"/>
      <c r="F427" s="7"/>
      <c r="G427" s="153"/>
      <c r="H427" s="271"/>
      <c r="I427" s="269"/>
      <c r="J427" s="270"/>
      <c r="K427" s="7"/>
      <c r="L427" s="10"/>
      <c r="M427" s="12"/>
    </row>
    <row r="428" ht="15.0" customHeight="1">
      <c r="A428" s="272"/>
      <c r="B428" s="7"/>
      <c r="C428" s="7"/>
      <c r="D428" s="7"/>
      <c r="E428" s="7"/>
      <c r="F428" s="7"/>
      <c r="G428" s="153"/>
      <c r="H428" s="271"/>
      <c r="I428" s="269"/>
      <c r="J428" s="270"/>
      <c r="K428" s="7"/>
      <c r="L428" s="10"/>
      <c r="M428" s="12"/>
    </row>
    <row r="429" ht="15.0" customHeight="1">
      <c r="A429" s="272"/>
      <c r="B429" s="7"/>
      <c r="C429" s="7"/>
      <c r="D429" s="7"/>
      <c r="E429" s="7"/>
      <c r="F429" s="7"/>
      <c r="G429" s="153"/>
      <c r="H429" s="271"/>
      <c r="I429" s="269"/>
      <c r="J429" s="270"/>
      <c r="K429" s="7"/>
      <c r="L429" s="10"/>
      <c r="M429" s="12"/>
    </row>
    <row r="430" ht="15.0" customHeight="1">
      <c r="A430" s="272"/>
      <c r="B430" s="7"/>
      <c r="C430" s="7"/>
      <c r="D430" s="7"/>
      <c r="E430" s="7"/>
      <c r="F430" s="7"/>
      <c r="G430" s="153"/>
      <c r="H430" s="271"/>
      <c r="I430" s="269"/>
      <c r="J430" s="270"/>
      <c r="K430" s="7"/>
      <c r="L430" s="10"/>
      <c r="M430" s="12"/>
    </row>
    <row r="431" ht="15.0" customHeight="1">
      <c r="A431" s="272"/>
      <c r="B431" s="7"/>
      <c r="C431" s="7"/>
      <c r="D431" s="7"/>
      <c r="E431" s="7"/>
      <c r="F431" s="7"/>
      <c r="G431" s="153"/>
      <c r="H431" s="271"/>
      <c r="I431" s="269"/>
      <c r="J431" s="270"/>
      <c r="K431" s="7"/>
      <c r="L431" s="10"/>
      <c r="M431" s="12"/>
    </row>
    <row r="432" ht="15.0" customHeight="1">
      <c r="A432" s="272"/>
      <c r="B432" s="7"/>
      <c r="C432" s="7"/>
      <c r="D432" s="7"/>
      <c r="E432" s="7"/>
      <c r="F432" s="7"/>
      <c r="G432" s="153"/>
      <c r="H432" s="271"/>
      <c r="I432" s="269"/>
      <c r="J432" s="270"/>
      <c r="K432" s="7"/>
      <c r="L432" s="10"/>
      <c r="M432" s="12"/>
    </row>
    <row r="433" ht="15.0" customHeight="1">
      <c r="A433" s="272"/>
      <c r="B433" s="7"/>
      <c r="C433" s="7"/>
      <c r="D433" s="7"/>
      <c r="E433" s="7"/>
      <c r="F433" s="7"/>
      <c r="G433" s="153"/>
      <c r="H433" s="271"/>
      <c r="I433" s="269"/>
      <c r="J433" s="270"/>
      <c r="K433" s="7"/>
      <c r="L433" s="10"/>
      <c r="M433" s="12"/>
    </row>
    <row r="434" ht="15.0" customHeight="1">
      <c r="A434" s="272"/>
      <c r="B434" s="7"/>
      <c r="C434" s="7"/>
      <c r="D434" s="7"/>
      <c r="E434" s="7"/>
      <c r="F434" s="7"/>
      <c r="G434" s="153"/>
      <c r="H434" s="271"/>
      <c r="I434" s="269"/>
      <c r="J434" s="270"/>
      <c r="K434" s="7"/>
      <c r="L434" s="10"/>
      <c r="M434" s="12"/>
    </row>
    <row r="435" ht="15.0" customHeight="1">
      <c r="A435" s="272"/>
      <c r="B435" s="7"/>
      <c r="C435" s="7"/>
      <c r="D435" s="7"/>
      <c r="E435" s="7"/>
      <c r="F435" s="7"/>
      <c r="G435" s="153"/>
      <c r="H435" s="271"/>
      <c r="I435" s="269"/>
      <c r="J435" s="270"/>
      <c r="K435" s="7"/>
      <c r="L435" s="10"/>
      <c r="M435" s="12"/>
    </row>
    <row r="436" ht="15.0" customHeight="1">
      <c r="A436" s="272"/>
      <c r="B436" s="7"/>
      <c r="C436" s="7"/>
      <c r="D436" s="7"/>
      <c r="E436" s="7"/>
      <c r="F436" s="7"/>
      <c r="G436" s="153"/>
      <c r="H436" s="271"/>
      <c r="I436" s="269"/>
      <c r="J436" s="270"/>
      <c r="K436" s="7"/>
      <c r="L436" s="10"/>
      <c r="M436" s="12"/>
    </row>
    <row r="437" ht="15.0" customHeight="1">
      <c r="A437" s="272"/>
      <c r="B437" s="7"/>
      <c r="C437" s="7"/>
      <c r="D437" s="7"/>
      <c r="E437" s="7"/>
      <c r="F437" s="7"/>
      <c r="G437" s="153"/>
      <c r="H437" s="271"/>
      <c r="I437" s="269"/>
      <c r="J437" s="270"/>
      <c r="K437" s="7"/>
      <c r="L437" s="10"/>
      <c r="M437" s="12"/>
    </row>
    <row r="438" ht="15.0" customHeight="1">
      <c r="A438" s="272"/>
      <c r="B438" s="7"/>
      <c r="C438" s="7"/>
      <c r="D438" s="7"/>
      <c r="E438" s="7"/>
      <c r="F438" s="7"/>
      <c r="G438" s="153"/>
      <c r="H438" s="271"/>
      <c r="I438" s="269"/>
      <c r="J438" s="270"/>
      <c r="K438" s="7"/>
      <c r="L438" s="10"/>
      <c r="M438" s="12"/>
    </row>
    <row r="439" ht="15.0" customHeight="1">
      <c r="A439" s="272"/>
      <c r="B439" s="7"/>
      <c r="C439" s="7"/>
      <c r="D439" s="7"/>
      <c r="E439" s="7"/>
      <c r="F439" s="7"/>
      <c r="G439" s="153"/>
      <c r="H439" s="271"/>
      <c r="I439" s="269"/>
      <c r="J439" s="270"/>
      <c r="K439" s="7"/>
      <c r="L439" s="10"/>
      <c r="M439" s="12"/>
    </row>
    <row r="440" ht="15.0" customHeight="1">
      <c r="A440" s="272"/>
      <c r="B440" s="7"/>
      <c r="C440" s="7"/>
      <c r="D440" s="7"/>
      <c r="E440" s="7"/>
      <c r="F440" s="7"/>
      <c r="G440" s="153"/>
      <c r="H440" s="271"/>
      <c r="I440" s="269"/>
      <c r="J440" s="270"/>
      <c r="K440" s="7"/>
      <c r="L440" s="10"/>
      <c r="M440" s="12"/>
    </row>
    <row r="441" ht="15.0" customHeight="1">
      <c r="A441" s="272"/>
      <c r="B441" s="7"/>
      <c r="C441" s="7"/>
      <c r="D441" s="7"/>
      <c r="E441" s="7"/>
      <c r="F441" s="7"/>
      <c r="G441" s="153"/>
      <c r="H441" s="271"/>
      <c r="I441" s="269"/>
      <c r="J441" s="270"/>
      <c r="K441" s="7"/>
      <c r="L441" s="10"/>
      <c r="M441" s="12"/>
    </row>
    <row r="442" ht="15.0" customHeight="1">
      <c r="A442" s="272"/>
      <c r="B442" s="7"/>
      <c r="C442" s="7"/>
      <c r="D442" s="7"/>
      <c r="E442" s="7"/>
      <c r="F442" s="7"/>
      <c r="G442" s="153"/>
      <c r="H442" s="271"/>
      <c r="I442" s="269"/>
      <c r="J442" s="270"/>
      <c r="K442" s="7"/>
      <c r="L442" s="10"/>
      <c r="M442" s="12"/>
    </row>
    <row r="443" ht="15.0" customHeight="1">
      <c r="A443" s="272"/>
      <c r="B443" s="7"/>
      <c r="C443" s="7"/>
      <c r="D443" s="7"/>
      <c r="E443" s="7"/>
      <c r="F443" s="7"/>
      <c r="G443" s="153"/>
      <c r="H443" s="271"/>
      <c r="I443" s="269"/>
      <c r="J443" s="270"/>
      <c r="K443" s="7"/>
      <c r="L443" s="10"/>
      <c r="M443" s="12"/>
    </row>
    <row r="444" ht="15.0" customHeight="1">
      <c r="A444" s="272"/>
      <c r="B444" s="7"/>
      <c r="C444" s="7"/>
      <c r="D444" s="7"/>
      <c r="E444" s="7"/>
      <c r="F444" s="7"/>
      <c r="G444" s="153"/>
      <c r="H444" s="271"/>
      <c r="I444" s="269"/>
      <c r="J444" s="270"/>
      <c r="K444" s="7"/>
      <c r="L444" s="10"/>
      <c r="M444" s="12"/>
    </row>
    <row r="445" ht="15.0" customHeight="1">
      <c r="A445" s="272"/>
      <c r="B445" s="7"/>
      <c r="C445" s="7"/>
      <c r="D445" s="7"/>
      <c r="E445" s="7"/>
      <c r="F445" s="7"/>
      <c r="G445" s="153"/>
      <c r="H445" s="271"/>
      <c r="I445" s="269"/>
      <c r="J445" s="270"/>
      <c r="K445" s="7"/>
      <c r="L445" s="10"/>
      <c r="M445" s="12"/>
    </row>
    <row r="446" ht="15.0" customHeight="1">
      <c r="A446" s="272"/>
      <c r="B446" s="7"/>
      <c r="C446" s="7"/>
      <c r="D446" s="7"/>
      <c r="E446" s="7"/>
      <c r="F446" s="7"/>
      <c r="G446" s="153"/>
      <c r="H446" s="271"/>
      <c r="I446" s="269"/>
      <c r="J446" s="270"/>
      <c r="K446" s="7"/>
      <c r="L446" s="10"/>
      <c r="M446" s="12"/>
    </row>
    <row r="447" ht="15.0" customHeight="1">
      <c r="A447" s="272"/>
      <c r="B447" s="7"/>
      <c r="C447" s="7"/>
      <c r="D447" s="7"/>
      <c r="E447" s="7"/>
      <c r="F447" s="7"/>
      <c r="G447" s="153"/>
      <c r="H447" s="271"/>
      <c r="I447" s="269"/>
      <c r="J447" s="270"/>
      <c r="K447" s="7"/>
      <c r="L447" s="10"/>
      <c r="M447" s="12"/>
    </row>
    <row r="448" ht="15.0" customHeight="1">
      <c r="A448" s="272"/>
      <c r="B448" s="7"/>
      <c r="C448" s="7"/>
      <c r="D448" s="7"/>
      <c r="E448" s="7"/>
      <c r="F448" s="7"/>
      <c r="G448" s="153"/>
      <c r="H448" s="271"/>
      <c r="I448" s="269"/>
      <c r="J448" s="270"/>
      <c r="K448" s="7"/>
      <c r="L448" s="10"/>
      <c r="M448" s="12"/>
    </row>
    <row r="449" ht="15.0" customHeight="1">
      <c r="A449" s="272"/>
      <c r="B449" s="7"/>
      <c r="C449" s="7"/>
      <c r="D449" s="7"/>
      <c r="E449" s="7"/>
      <c r="F449" s="7"/>
      <c r="G449" s="153"/>
      <c r="H449" s="271"/>
      <c r="I449" s="269"/>
      <c r="J449" s="270"/>
      <c r="K449" s="7"/>
      <c r="L449" s="10"/>
      <c r="M449" s="12"/>
    </row>
    <row r="450" ht="15.0" customHeight="1">
      <c r="A450" s="272"/>
      <c r="B450" s="7"/>
      <c r="C450" s="7"/>
      <c r="D450" s="7"/>
      <c r="E450" s="7"/>
      <c r="F450" s="7"/>
      <c r="G450" s="153"/>
      <c r="H450" s="271"/>
      <c r="I450" s="269"/>
      <c r="J450" s="270"/>
      <c r="K450" s="7"/>
      <c r="L450" s="10"/>
      <c r="M450" s="12"/>
    </row>
    <row r="451" ht="15.0" customHeight="1">
      <c r="A451" s="272"/>
      <c r="B451" s="7"/>
      <c r="C451" s="7"/>
      <c r="D451" s="7"/>
      <c r="E451" s="7"/>
      <c r="F451" s="7"/>
      <c r="G451" s="153"/>
      <c r="H451" s="271"/>
      <c r="I451" s="269"/>
      <c r="J451" s="270"/>
      <c r="K451" s="7"/>
      <c r="L451" s="10"/>
      <c r="M451" s="12"/>
    </row>
    <row r="452" ht="15.0" customHeight="1">
      <c r="A452" s="272"/>
      <c r="B452" s="7"/>
      <c r="C452" s="7"/>
      <c r="D452" s="7"/>
      <c r="E452" s="7"/>
      <c r="F452" s="7"/>
      <c r="G452" s="153"/>
      <c r="H452" s="271"/>
      <c r="I452" s="269"/>
      <c r="J452" s="270"/>
      <c r="K452" s="7"/>
      <c r="L452" s="10"/>
      <c r="M452" s="12"/>
    </row>
    <row r="453" ht="15.0" customHeight="1">
      <c r="A453" s="272"/>
      <c r="B453" s="7"/>
      <c r="C453" s="7"/>
      <c r="D453" s="7"/>
      <c r="E453" s="7"/>
      <c r="F453" s="7"/>
      <c r="G453" s="153"/>
      <c r="H453" s="271"/>
      <c r="I453" s="269"/>
      <c r="J453" s="270"/>
      <c r="K453" s="7"/>
      <c r="L453" s="10"/>
      <c r="M453" s="12"/>
    </row>
    <row r="454" ht="15.0" customHeight="1">
      <c r="A454" s="272"/>
      <c r="B454" s="7"/>
      <c r="C454" s="7"/>
      <c r="D454" s="7"/>
      <c r="E454" s="7"/>
      <c r="F454" s="7"/>
      <c r="G454" s="153"/>
      <c r="H454" s="271"/>
      <c r="I454" s="269"/>
      <c r="J454" s="270"/>
      <c r="K454" s="7"/>
      <c r="L454" s="10"/>
      <c r="M454" s="12"/>
    </row>
    <row r="455" ht="15.0" customHeight="1">
      <c r="A455" s="272"/>
      <c r="B455" s="7"/>
      <c r="C455" s="7"/>
      <c r="D455" s="7"/>
      <c r="E455" s="7"/>
      <c r="F455" s="7"/>
      <c r="G455" s="153"/>
      <c r="H455" s="271"/>
      <c r="I455" s="269"/>
      <c r="J455" s="270"/>
      <c r="K455" s="7"/>
      <c r="L455" s="10"/>
      <c r="M455" s="12"/>
    </row>
    <row r="456" ht="15.0" customHeight="1">
      <c r="A456" s="272"/>
      <c r="B456" s="7"/>
      <c r="C456" s="7"/>
      <c r="D456" s="7"/>
      <c r="E456" s="7"/>
      <c r="F456" s="7"/>
      <c r="G456" s="153"/>
      <c r="H456" s="271"/>
      <c r="I456" s="269"/>
      <c r="J456" s="270"/>
      <c r="K456" s="7"/>
      <c r="L456" s="10"/>
      <c r="M456" s="12"/>
    </row>
    <row r="457" ht="15.0" customHeight="1">
      <c r="A457" s="272"/>
      <c r="B457" s="7"/>
      <c r="C457" s="7"/>
      <c r="D457" s="7"/>
      <c r="E457" s="7"/>
      <c r="F457" s="7"/>
      <c r="G457" s="153"/>
      <c r="H457" s="271"/>
      <c r="I457" s="269"/>
      <c r="J457" s="270"/>
      <c r="K457" s="7"/>
      <c r="L457" s="10"/>
      <c r="M457" s="12"/>
    </row>
    <row r="458" ht="15.0" customHeight="1">
      <c r="A458" s="272"/>
      <c r="B458" s="7"/>
      <c r="C458" s="7"/>
      <c r="D458" s="7"/>
      <c r="E458" s="7"/>
      <c r="F458" s="7"/>
      <c r="G458" s="153"/>
      <c r="H458" s="271"/>
      <c r="I458" s="269"/>
      <c r="J458" s="270"/>
      <c r="K458" s="7"/>
      <c r="L458" s="10"/>
      <c r="M458" s="12"/>
    </row>
    <row r="459" ht="15.0" customHeight="1">
      <c r="A459" s="272"/>
      <c r="B459" s="7"/>
      <c r="C459" s="7"/>
      <c r="D459" s="7"/>
      <c r="E459" s="7"/>
      <c r="F459" s="7"/>
      <c r="G459" s="153"/>
      <c r="H459" s="271"/>
      <c r="I459" s="269"/>
      <c r="J459" s="270"/>
      <c r="K459" s="7"/>
      <c r="L459" s="10"/>
      <c r="M459" s="12"/>
    </row>
    <row r="460" ht="15.0" customHeight="1">
      <c r="A460" s="272"/>
      <c r="B460" s="7"/>
      <c r="C460" s="7"/>
      <c r="D460" s="7"/>
      <c r="E460" s="7"/>
      <c r="F460" s="7"/>
      <c r="G460" s="153"/>
      <c r="H460" s="271"/>
      <c r="I460" s="269"/>
      <c r="J460" s="270"/>
      <c r="K460" s="7"/>
      <c r="L460" s="10"/>
      <c r="M460" s="12"/>
    </row>
    <row r="461" ht="15.0" customHeight="1">
      <c r="A461" s="272"/>
      <c r="B461" s="7"/>
      <c r="C461" s="7"/>
      <c r="D461" s="7"/>
      <c r="E461" s="7"/>
      <c r="F461" s="7"/>
      <c r="G461" s="153"/>
      <c r="H461" s="271"/>
      <c r="I461" s="269"/>
      <c r="J461" s="270"/>
      <c r="K461" s="7"/>
      <c r="L461" s="10"/>
      <c r="M461" s="12"/>
    </row>
    <row r="462" ht="15.0" customHeight="1">
      <c r="A462" s="272"/>
      <c r="B462" s="7"/>
      <c r="C462" s="7"/>
      <c r="D462" s="7"/>
      <c r="E462" s="7"/>
      <c r="F462" s="7"/>
      <c r="G462" s="153"/>
      <c r="H462" s="271"/>
      <c r="I462" s="269"/>
      <c r="J462" s="270"/>
      <c r="K462" s="7"/>
      <c r="L462" s="10"/>
      <c r="M462" s="12"/>
    </row>
    <row r="463" ht="15.0" customHeight="1">
      <c r="A463" s="272"/>
      <c r="B463" s="7"/>
      <c r="C463" s="7"/>
      <c r="D463" s="7"/>
      <c r="E463" s="7"/>
      <c r="F463" s="7"/>
      <c r="G463" s="153"/>
      <c r="H463" s="271"/>
      <c r="I463" s="269"/>
      <c r="J463" s="270"/>
      <c r="K463" s="7"/>
      <c r="L463" s="10"/>
      <c r="M463" s="12"/>
    </row>
    <row r="464" ht="15.0" customHeight="1">
      <c r="A464" s="272"/>
      <c r="B464" s="7"/>
      <c r="C464" s="7"/>
      <c r="D464" s="7"/>
      <c r="E464" s="7"/>
      <c r="F464" s="7"/>
      <c r="G464" s="153"/>
      <c r="H464" s="271"/>
      <c r="I464" s="269"/>
      <c r="J464" s="270"/>
      <c r="K464" s="7"/>
      <c r="L464" s="10"/>
      <c r="M464" s="12"/>
    </row>
    <row r="465" ht="15.0" customHeight="1">
      <c r="A465" s="272"/>
      <c r="B465" s="7"/>
      <c r="C465" s="7"/>
      <c r="D465" s="7"/>
      <c r="E465" s="7"/>
      <c r="F465" s="7"/>
      <c r="G465" s="153"/>
      <c r="H465" s="271"/>
      <c r="I465" s="269"/>
      <c r="J465" s="270"/>
      <c r="K465" s="7"/>
      <c r="L465" s="10"/>
      <c r="M465" s="12"/>
    </row>
    <row r="466" ht="15.0" customHeight="1">
      <c r="A466" s="272"/>
      <c r="B466" s="7"/>
      <c r="C466" s="7"/>
      <c r="D466" s="7"/>
      <c r="E466" s="7"/>
      <c r="F466" s="7"/>
      <c r="G466" s="153"/>
      <c r="H466" s="271"/>
      <c r="I466" s="269"/>
      <c r="J466" s="270"/>
      <c r="K466" s="7"/>
      <c r="L466" s="10"/>
      <c r="M466" s="12"/>
    </row>
    <row r="467" ht="15.0" customHeight="1">
      <c r="A467" s="272"/>
      <c r="B467" s="7"/>
      <c r="C467" s="7"/>
      <c r="D467" s="7"/>
      <c r="E467" s="7"/>
      <c r="F467" s="7"/>
      <c r="G467" s="153"/>
      <c r="H467" s="271"/>
      <c r="I467" s="269"/>
      <c r="J467" s="270"/>
      <c r="K467" s="7"/>
      <c r="L467" s="10"/>
      <c r="M467" s="12"/>
    </row>
    <row r="468" ht="15.0" customHeight="1">
      <c r="A468" s="272"/>
      <c r="B468" s="7"/>
      <c r="C468" s="7"/>
      <c r="D468" s="7"/>
      <c r="E468" s="7"/>
      <c r="F468" s="7"/>
      <c r="G468" s="153"/>
      <c r="H468" s="271"/>
      <c r="I468" s="269"/>
      <c r="J468" s="270"/>
      <c r="K468" s="7"/>
      <c r="L468" s="10"/>
      <c r="M468" s="12"/>
    </row>
    <row r="469" ht="15.0" customHeight="1">
      <c r="A469" s="272"/>
      <c r="B469" s="7"/>
      <c r="C469" s="7"/>
      <c r="D469" s="7"/>
      <c r="E469" s="7"/>
      <c r="F469" s="7"/>
      <c r="G469" s="153"/>
      <c r="H469" s="271"/>
      <c r="I469" s="269"/>
      <c r="J469" s="270"/>
      <c r="K469" s="7"/>
      <c r="L469" s="10"/>
      <c r="M469" s="12"/>
    </row>
    <row r="470" ht="15.0" customHeight="1">
      <c r="A470" s="272"/>
      <c r="B470" s="7"/>
      <c r="C470" s="7"/>
      <c r="D470" s="7"/>
      <c r="E470" s="7"/>
      <c r="F470" s="7"/>
      <c r="G470" s="153"/>
      <c r="H470" s="271"/>
      <c r="I470" s="269"/>
      <c r="J470" s="270"/>
      <c r="K470" s="7"/>
      <c r="L470" s="10"/>
      <c r="M470" s="12"/>
    </row>
    <row r="471" ht="15.0" customHeight="1">
      <c r="A471" s="272"/>
      <c r="B471" s="7"/>
      <c r="C471" s="7"/>
      <c r="D471" s="7"/>
      <c r="E471" s="7"/>
      <c r="F471" s="7"/>
      <c r="G471" s="153"/>
      <c r="H471" s="271"/>
      <c r="I471" s="269"/>
      <c r="J471" s="270"/>
      <c r="K471" s="7"/>
      <c r="L471" s="10"/>
      <c r="M471" s="12"/>
    </row>
    <row r="472" ht="15.0" customHeight="1">
      <c r="A472" s="272"/>
      <c r="B472" s="7"/>
      <c r="C472" s="7"/>
      <c r="D472" s="7"/>
      <c r="E472" s="7"/>
      <c r="F472" s="7"/>
      <c r="G472" s="153"/>
      <c r="H472" s="271"/>
      <c r="I472" s="269"/>
      <c r="J472" s="270"/>
      <c r="K472" s="7"/>
      <c r="L472" s="10"/>
      <c r="M472" s="12"/>
    </row>
    <row r="473" ht="15.0" customHeight="1">
      <c r="A473" s="272"/>
      <c r="B473" s="7"/>
      <c r="C473" s="7"/>
      <c r="D473" s="7"/>
      <c r="E473" s="7"/>
      <c r="F473" s="7"/>
      <c r="G473" s="153"/>
      <c r="H473" s="271"/>
      <c r="I473" s="269"/>
      <c r="J473" s="270"/>
      <c r="K473" s="7"/>
      <c r="L473" s="10"/>
      <c r="M473" s="12"/>
    </row>
    <row r="474" ht="15.0" customHeight="1">
      <c r="A474" s="272"/>
      <c r="B474" s="7"/>
      <c r="C474" s="7"/>
      <c r="D474" s="7"/>
      <c r="E474" s="7"/>
      <c r="F474" s="7"/>
      <c r="G474" s="153"/>
      <c r="H474" s="271"/>
      <c r="I474" s="269"/>
      <c r="J474" s="270"/>
      <c r="K474" s="7"/>
      <c r="L474" s="10"/>
      <c r="M474" s="12"/>
    </row>
    <row r="475" ht="15.0" customHeight="1">
      <c r="A475" s="272"/>
      <c r="B475" s="7"/>
      <c r="C475" s="7"/>
      <c r="D475" s="7"/>
      <c r="E475" s="7"/>
      <c r="F475" s="7"/>
      <c r="G475" s="153"/>
      <c r="H475" s="271"/>
      <c r="I475" s="269"/>
      <c r="J475" s="270"/>
      <c r="K475" s="7"/>
      <c r="L475" s="10"/>
      <c r="M475" s="12"/>
    </row>
    <row r="476" ht="15.0" customHeight="1">
      <c r="A476" s="272"/>
      <c r="B476" s="7"/>
      <c r="C476" s="7"/>
      <c r="D476" s="7"/>
      <c r="E476" s="7"/>
      <c r="F476" s="7"/>
      <c r="G476" s="153"/>
      <c r="H476" s="271"/>
      <c r="I476" s="269"/>
      <c r="J476" s="270"/>
      <c r="K476" s="7"/>
      <c r="L476" s="10"/>
      <c r="M476" s="12"/>
    </row>
    <row r="477" ht="15.0" customHeight="1">
      <c r="A477" s="272"/>
      <c r="B477" s="7"/>
      <c r="C477" s="7"/>
      <c r="D477" s="7"/>
      <c r="E477" s="7"/>
      <c r="F477" s="7"/>
      <c r="G477" s="153"/>
      <c r="H477" s="271"/>
      <c r="I477" s="269"/>
      <c r="J477" s="270"/>
      <c r="K477" s="7"/>
      <c r="L477" s="10"/>
      <c r="M477" s="12"/>
    </row>
    <row r="478" ht="15.0" customHeight="1">
      <c r="A478" s="272"/>
      <c r="B478" s="7"/>
      <c r="C478" s="7"/>
      <c r="D478" s="7"/>
      <c r="E478" s="7"/>
      <c r="F478" s="7"/>
      <c r="G478" s="153"/>
      <c r="H478" s="271"/>
      <c r="I478" s="269"/>
      <c r="J478" s="270"/>
      <c r="K478" s="7"/>
      <c r="L478" s="10"/>
      <c r="M478" s="12"/>
    </row>
    <row r="479" ht="15.0" customHeight="1">
      <c r="A479" s="272"/>
      <c r="B479" s="7"/>
      <c r="C479" s="7"/>
      <c r="D479" s="7"/>
      <c r="E479" s="7"/>
      <c r="F479" s="7"/>
      <c r="G479" s="153"/>
      <c r="H479" s="271"/>
      <c r="I479" s="269"/>
      <c r="J479" s="270"/>
      <c r="K479" s="7"/>
      <c r="L479" s="10"/>
      <c r="M479" s="12"/>
    </row>
    <row r="480" ht="15.0" customHeight="1">
      <c r="A480" s="272"/>
      <c r="B480" s="7"/>
      <c r="C480" s="7"/>
      <c r="D480" s="7"/>
      <c r="E480" s="7"/>
      <c r="F480" s="7"/>
      <c r="G480" s="153"/>
      <c r="H480" s="271"/>
      <c r="I480" s="269"/>
      <c r="J480" s="270"/>
      <c r="K480" s="7"/>
      <c r="L480" s="10"/>
      <c r="M480" s="12"/>
    </row>
    <row r="481" ht="15.0" customHeight="1">
      <c r="A481" s="272"/>
      <c r="B481" s="7"/>
      <c r="C481" s="7"/>
      <c r="D481" s="7"/>
      <c r="E481" s="7"/>
      <c r="F481" s="7"/>
      <c r="G481" s="153"/>
      <c r="H481" s="271"/>
      <c r="I481" s="269"/>
      <c r="J481" s="270"/>
      <c r="K481" s="7"/>
      <c r="L481" s="10"/>
      <c r="M481" s="12"/>
    </row>
    <row r="482" ht="15.0" customHeight="1">
      <c r="A482" s="272"/>
      <c r="B482" s="7"/>
      <c r="C482" s="7"/>
      <c r="D482" s="7"/>
      <c r="E482" s="7"/>
      <c r="F482" s="7"/>
      <c r="G482" s="153"/>
      <c r="H482" s="271"/>
      <c r="I482" s="269"/>
      <c r="J482" s="270"/>
      <c r="K482" s="7"/>
      <c r="L482" s="10"/>
      <c r="M482" s="12"/>
    </row>
    <row r="483" ht="15.0" customHeight="1">
      <c r="A483" s="272"/>
      <c r="B483" s="7"/>
      <c r="C483" s="7"/>
      <c r="D483" s="7"/>
      <c r="E483" s="7"/>
      <c r="F483" s="7"/>
      <c r="G483" s="153"/>
      <c r="H483" s="271"/>
      <c r="I483" s="269"/>
      <c r="J483" s="270"/>
      <c r="K483" s="7"/>
      <c r="L483" s="10"/>
      <c r="M483" s="12"/>
    </row>
    <row r="484" ht="15.0" customHeight="1">
      <c r="A484" s="272"/>
      <c r="B484" s="7"/>
      <c r="C484" s="7"/>
      <c r="D484" s="7"/>
      <c r="E484" s="7"/>
      <c r="F484" s="7"/>
      <c r="G484" s="153"/>
      <c r="H484" s="271"/>
      <c r="I484" s="269"/>
      <c r="J484" s="270"/>
      <c r="K484" s="7"/>
      <c r="L484" s="10"/>
      <c r="M484" s="12"/>
    </row>
    <row r="485" ht="15.0" customHeight="1">
      <c r="A485" s="272"/>
      <c r="B485" s="7"/>
      <c r="C485" s="7"/>
      <c r="D485" s="7"/>
      <c r="E485" s="7"/>
      <c r="F485" s="7"/>
      <c r="G485" s="153"/>
      <c r="H485" s="271"/>
      <c r="I485" s="269"/>
      <c r="J485" s="270"/>
      <c r="K485" s="7"/>
      <c r="L485" s="10"/>
      <c r="M485" s="12"/>
    </row>
    <row r="486" ht="15.0" customHeight="1">
      <c r="A486" s="272"/>
      <c r="B486" s="7"/>
      <c r="C486" s="7"/>
      <c r="D486" s="7"/>
      <c r="E486" s="7"/>
      <c r="F486" s="7"/>
      <c r="G486" s="153"/>
      <c r="H486" s="271"/>
      <c r="I486" s="269"/>
      <c r="J486" s="270"/>
      <c r="K486" s="7"/>
      <c r="L486" s="10"/>
      <c r="M486" s="12"/>
    </row>
    <row r="487" ht="15.0" customHeight="1">
      <c r="A487" s="272"/>
      <c r="B487" s="7"/>
      <c r="C487" s="7"/>
      <c r="D487" s="7"/>
      <c r="E487" s="7"/>
      <c r="F487" s="7"/>
      <c r="G487" s="153"/>
      <c r="H487" s="271"/>
      <c r="I487" s="269"/>
      <c r="J487" s="270"/>
      <c r="K487" s="7"/>
      <c r="L487" s="10"/>
      <c r="M487" s="12"/>
    </row>
    <row r="488" ht="15.0" customHeight="1">
      <c r="A488" s="272"/>
      <c r="B488" s="7"/>
      <c r="C488" s="7"/>
      <c r="D488" s="7"/>
      <c r="E488" s="7"/>
      <c r="F488" s="7"/>
      <c r="G488" s="153"/>
      <c r="H488" s="271"/>
      <c r="I488" s="269"/>
      <c r="J488" s="270"/>
      <c r="K488" s="7"/>
      <c r="L488" s="10"/>
      <c r="M488" s="12"/>
    </row>
    <row r="489" ht="15.0" customHeight="1">
      <c r="A489" s="272"/>
      <c r="B489" s="7"/>
      <c r="C489" s="7"/>
      <c r="D489" s="7"/>
      <c r="E489" s="7"/>
      <c r="F489" s="7"/>
      <c r="G489" s="153"/>
      <c r="H489" s="271"/>
      <c r="I489" s="269"/>
      <c r="J489" s="270"/>
      <c r="K489" s="7"/>
      <c r="L489" s="10"/>
      <c r="M489" s="12"/>
    </row>
    <row r="490" ht="15.0" customHeight="1">
      <c r="A490" s="272"/>
      <c r="B490" s="7"/>
      <c r="C490" s="7"/>
      <c r="D490" s="7"/>
      <c r="E490" s="7"/>
      <c r="F490" s="7"/>
      <c r="G490" s="153"/>
      <c r="H490" s="271"/>
      <c r="I490" s="269"/>
      <c r="J490" s="270"/>
      <c r="K490" s="7"/>
      <c r="L490" s="10"/>
      <c r="M490" s="12"/>
    </row>
    <row r="491" ht="15.0" customHeight="1">
      <c r="A491" s="272"/>
      <c r="B491" s="7"/>
      <c r="C491" s="7"/>
      <c r="D491" s="7"/>
      <c r="E491" s="7"/>
      <c r="F491" s="7"/>
      <c r="G491" s="153"/>
      <c r="H491" s="271"/>
      <c r="I491" s="269"/>
      <c r="J491" s="270"/>
      <c r="K491" s="7"/>
      <c r="L491" s="10"/>
      <c r="M491" s="12"/>
    </row>
    <row r="492" ht="15.0" customHeight="1">
      <c r="A492" s="272"/>
      <c r="B492" s="7"/>
      <c r="C492" s="7"/>
      <c r="D492" s="7"/>
      <c r="E492" s="7"/>
      <c r="F492" s="7"/>
      <c r="G492" s="153"/>
      <c r="H492" s="271"/>
      <c r="I492" s="269"/>
      <c r="J492" s="270"/>
      <c r="K492" s="7"/>
      <c r="L492" s="10"/>
      <c r="M492" s="12"/>
    </row>
    <row r="493" ht="15.0" customHeight="1">
      <c r="A493" s="272"/>
      <c r="B493" s="7"/>
      <c r="C493" s="7"/>
      <c r="D493" s="7"/>
      <c r="E493" s="7"/>
      <c r="F493" s="7"/>
      <c r="G493" s="153"/>
      <c r="H493" s="271"/>
      <c r="I493" s="269"/>
      <c r="J493" s="270"/>
      <c r="K493" s="7"/>
      <c r="L493" s="10"/>
      <c r="M493" s="12"/>
    </row>
    <row r="494" ht="15.0" customHeight="1">
      <c r="A494" s="272"/>
      <c r="B494" s="7"/>
      <c r="C494" s="7"/>
      <c r="D494" s="7"/>
      <c r="E494" s="7"/>
      <c r="F494" s="7"/>
      <c r="G494" s="153"/>
      <c r="H494" s="271"/>
      <c r="I494" s="269"/>
      <c r="J494" s="270"/>
      <c r="K494" s="7"/>
      <c r="L494" s="10"/>
      <c r="M494" s="12"/>
    </row>
    <row r="495" ht="15.0" customHeight="1">
      <c r="A495" s="272"/>
      <c r="B495" s="7"/>
      <c r="C495" s="7"/>
      <c r="D495" s="7"/>
      <c r="E495" s="7"/>
      <c r="F495" s="7"/>
      <c r="G495" s="153"/>
      <c r="H495" s="271"/>
      <c r="I495" s="269"/>
      <c r="J495" s="270"/>
      <c r="K495" s="7"/>
      <c r="L495" s="10"/>
      <c r="M495" s="12"/>
    </row>
    <row r="496" ht="15.0" customHeight="1">
      <c r="A496" s="272"/>
      <c r="B496" s="7"/>
      <c r="C496" s="7"/>
      <c r="D496" s="7"/>
      <c r="E496" s="7"/>
      <c r="F496" s="7"/>
      <c r="G496" s="153"/>
      <c r="H496" s="271"/>
      <c r="I496" s="269"/>
      <c r="J496" s="270"/>
      <c r="K496" s="7"/>
      <c r="L496" s="10"/>
      <c r="M496" s="12"/>
    </row>
    <row r="497" ht="15.0" customHeight="1">
      <c r="A497" s="272"/>
      <c r="B497" s="7"/>
      <c r="C497" s="7"/>
      <c r="D497" s="7"/>
      <c r="E497" s="7"/>
      <c r="F497" s="7"/>
      <c r="G497" s="153"/>
      <c r="H497" s="271"/>
      <c r="I497" s="269"/>
      <c r="J497" s="270"/>
      <c r="K497" s="7"/>
      <c r="L497" s="10"/>
      <c r="M497" s="12"/>
    </row>
    <row r="498" ht="15.0" customHeight="1">
      <c r="A498" s="272"/>
      <c r="B498" s="7"/>
      <c r="C498" s="7"/>
      <c r="D498" s="7"/>
      <c r="E498" s="7"/>
      <c r="F498" s="7"/>
      <c r="G498" s="153"/>
      <c r="H498" s="271"/>
      <c r="I498" s="269"/>
      <c r="J498" s="270"/>
      <c r="K498" s="7"/>
      <c r="L498" s="10"/>
      <c r="M498" s="12"/>
    </row>
    <row r="499" ht="15.0" customHeight="1">
      <c r="A499" s="272"/>
      <c r="B499" s="7"/>
      <c r="C499" s="7"/>
      <c r="D499" s="7"/>
      <c r="E499" s="7"/>
      <c r="F499" s="7"/>
      <c r="G499" s="153"/>
      <c r="H499" s="271"/>
      <c r="I499" s="269"/>
      <c r="J499" s="270"/>
      <c r="K499" s="7"/>
      <c r="L499" s="10"/>
      <c r="M499" s="12"/>
    </row>
    <row r="500" ht="15.0" customHeight="1">
      <c r="A500" s="272"/>
      <c r="B500" s="7"/>
      <c r="C500" s="7"/>
      <c r="D500" s="7"/>
      <c r="E500" s="7"/>
      <c r="F500" s="7"/>
      <c r="G500" s="153"/>
      <c r="H500" s="271"/>
      <c r="I500" s="269"/>
      <c r="J500" s="270"/>
      <c r="K500" s="7"/>
      <c r="L500" s="10"/>
      <c r="M500" s="12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</sheetData>
  <autoFilter ref="$A$6:$Z$313"/>
  <mergeCells count="1">
    <mergeCell ref="A1:K4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57"/>
    <col customWidth="1" min="2" max="2" width="25.14"/>
    <col customWidth="1" min="3" max="3" width="17.14"/>
    <col customWidth="1" min="4" max="4" width="15.43"/>
    <col customWidth="1" min="5" max="6" width="13.86"/>
    <col customWidth="1" min="7" max="7" width="13.71"/>
    <col customWidth="1" min="8" max="8" width="46.0"/>
    <col customWidth="1" min="9" max="9" width="40.86"/>
    <col customWidth="1" min="10" max="18" width="10.71"/>
  </cols>
  <sheetData>
    <row r="1" ht="15.0" customHeight="1">
      <c r="A1" s="1"/>
      <c r="B1" s="8" t="s">
        <v>2</v>
      </c>
      <c r="C1" s="5"/>
      <c r="D1" s="5"/>
      <c r="E1" s="5"/>
      <c r="F1" s="5"/>
      <c r="G1" s="5"/>
      <c r="H1" s="6"/>
      <c r="I1" s="7"/>
    </row>
    <row r="2" ht="15.0" customHeight="1">
      <c r="A2" s="1"/>
      <c r="B2" s="9"/>
      <c r="H2" s="13"/>
      <c r="I2" s="7"/>
    </row>
    <row r="3" ht="15.0" customHeight="1">
      <c r="A3" s="14"/>
      <c r="B3" s="9"/>
      <c r="H3" s="13"/>
      <c r="I3" s="7"/>
    </row>
    <row r="4" ht="15.0" customHeight="1">
      <c r="A4" s="14"/>
      <c r="B4" s="15"/>
      <c r="C4" s="17"/>
      <c r="D4" s="17"/>
      <c r="E4" s="17"/>
      <c r="F4" s="17"/>
      <c r="G4" s="17"/>
      <c r="H4" s="19"/>
      <c r="I4" s="7"/>
    </row>
    <row r="5" ht="27.0" customHeight="1">
      <c r="A5" s="32"/>
      <c r="B5" s="37" t="s">
        <v>25</v>
      </c>
      <c r="C5" s="41"/>
      <c r="D5" s="33" t="s">
        <v>22</v>
      </c>
      <c r="E5" s="41" t="s">
        <v>11</v>
      </c>
      <c r="F5" s="36" t="s">
        <v>21</v>
      </c>
      <c r="G5" s="47" t="s">
        <v>23</v>
      </c>
      <c r="H5" s="39" t="s">
        <v>24</v>
      </c>
      <c r="I5" s="7"/>
      <c r="J5" s="50"/>
      <c r="K5" s="50"/>
      <c r="L5" s="50"/>
      <c r="M5" s="50"/>
      <c r="N5" s="50"/>
      <c r="O5" s="50"/>
      <c r="P5" s="50"/>
      <c r="Q5" s="50"/>
      <c r="R5" s="50"/>
    </row>
    <row r="6" ht="16.5" customHeight="1">
      <c r="A6" s="53"/>
      <c r="B6" s="55" t="s">
        <v>28</v>
      </c>
      <c r="C6" s="53" t="s">
        <v>29</v>
      </c>
      <c r="D6" s="57">
        <v>1320.0</v>
      </c>
      <c r="E6" s="61">
        <v>46022.0</v>
      </c>
      <c r="F6" s="63" t="s">
        <v>33</v>
      </c>
      <c r="G6" s="64">
        <v>46052.0</v>
      </c>
      <c r="H6" s="66" t="s">
        <v>35</v>
      </c>
      <c r="I6" s="68"/>
      <c r="J6" s="70"/>
      <c r="K6" s="70"/>
      <c r="L6" s="70"/>
      <c r="M6" s="70"/>
      <c r="N6" s="70"/>
      <c r="O6" s="70"/>
      <c r="P6" s="70"/>
      <c r="Q6" s="70"/>
      <c r="R6" s="70"/>
      <c r="S6" s="75"/>
      <c r="T6" s="75"/>
      <c r="U6" s="75"/>
      <c r="V6" s="75"/>
      <c r="W6" s="75"/>
      <c r="X6" s="75"/>
      <c r="Y6" s="75"/>
      <c r="Z6" s="75"/>
    </row>
    <row r="7" ht="16.5" customHeight="1">
      <c r="A7" s="53"/>
      <c r="B7" s="55" t="s">
        <v>39</v>
      </c>
      <c r="C7" s="53" t="s">
        <v>29</v>
      </c>
      <c r="D7" s="57">
        <v>1397.0</v>
      </c>
      <c r="E7" s="61">
        <v>46022.0</v>
      </c>
      <c r="F7" s="63" t="s">
        <v>33</v>
      </c>
      <c r="G7" s="64">
        <v>46052.0</v>
      </c>
      <c r="H7" s="66" t="s">
        <v>35</v>
      </c>
      <c r="I7" s="68"/>
      <c r="J7" s="70"/>
      <c r="K7" s="70"/>
      <c r="L7" s="70"/>
      <c r="M7" s="70"/>
      <c r="N7" s="70"/>
      <c r="O7" s="70"/>
      <c r="P7" s="70"/>
      <c r="Q7" s="70"/>
      <c r="R7" s="70"/>
      <c r="S7" s="75"/>
      <c r="T7" s="75"/>
      <c r="U7" s="75"/>
      <c r="V7" s="75"/>
      <c r="W7" s="75"/>
      <c r="X7" s="75"/>
      <c r="Y7" s="75"/>
      <c r="Z7" s="75"/>
    </row>
    <row r="8" ht="16.5" customHeight="1">
      <c r="A8" s="53"/>
      <c r="B8" s="55" t="s">
        <v>28</v>
      </c>
      <c r="C8" s="53" t="s">
        <v>29</v>
      </c>
      <c r="D8" s="57">
        <v>1320.0</v>
      </c>
      <c r="E8" s="61">
        <v>46052.0</v>
      </c>
      <c r="F8" s="63" t="s">
        <v>33</v>
      </c>
      <c r="G8" s="64">
        <v>46076.0</v>
      </c>
      <c r="H8" s="66" t="s">
        <v>35</v>
      </c>
      <c r="I8" s="68"/>
      <c r="J8" s="70"/>
      <c r="K8" s="70"/>
      <c r="L8" s="70"/>
      <c r="M8" s="70"/>
      <c r="N8" s="70"/>
      <c r="O8" s="70"/>
      <c r="P8" s="70"/>
      <c r="Q8" s="70"/>
      <c r="R8" s="70"/>
      <c r="S8" s="75"/>
      <c r="T8" s="75"/>
      <c r="U8" s="75"/>
      <c r="V8" s="75"/>
      <c r="W8" s="75"/>
      <c r="X8" s="75"/>
      <c r="Y8" s="75"/>
      <c r="Z8" s="75"/>
    </row>
    <row r="9" ht="16.5" customHeight="1">
      <c r="A9" s="53"/>
      <c r="B9" s="55" t="s">
        <v>39</v>
      </c>
      <c r="C9" s="53" t="s">
        <v>29</v>
      </c>
      <c r="D9" s="57">
        <v>1397.0</v>
      </c>
      <c r="E9" s="61">
        <v>46052.0</v>
      </c>
      <c r="F9" s="63" t="s">
        <v>33</v>
      </c>
      <c r="G9" s="64">
        <v>46077.0</v>
      </c>
      <c r="H9" s="66" t="s">
        <v>35</v>
      </c>
      <c r="I9" s="68"/>
      <c r="J9" s="70"/>
      <c r="K9" s="70"/>
      <c r="L9" s="70"/>
      <c r="M9" s="70"/>
      <c r="N9" s="70"/>
      <c r="O9" s="70"/>
      <c r="P9" s="70"/>
      <c r="Q9" s="70"/>
      <c r="R9" s="70"/>
      <c r="S9" s="75"/>
      <c r="T9" s="75"/>
      <c r="U9" s="75"/>
      <c r="V9" s="75"/>
      <c r="W9" s="75"/>
      <c r="X9" s="75"/>
      <c r="Y9" s="75"/>
      <c r="Z9" s="75"/>
    </row>
    <row r="10" ht="16.5" customHeight="1">
      <c r="A10" s="53"/>
      <c r="B10" s="55" t="s">
        <v>28</v>
      </c>
      <c r="C10" s="53" t="s">
        <v>29</v>
      </c>
      <c r="D10" s="57">
        <v>1320.0</v>
      </c>
      <c r="E10" s="61">
        <v>46080.0</v>
      </c>
      <c r="F10" s="63" t="s">
        <v>33</v>
      </c>
      <c r="G10" s="64">
        <v>46079.0</v>
      </c>
      <c r="H10" s="66" t="s">
        <v>35</v>
      </c>
      <c r="I10" s="68"/>
      <c r="J10" s="70"/>
      <c r="K10" s="70"/>
      <c r="L10" s="70"/>
      <c r="M10" s="70"/>
      <c r="N10" s="70"/>
      <c r="O10" s="70"/>
      <c r="P10" s="70"/>
      <c r="Q10" s="70"/>
      <c r="R10" s="70"/>
      <c r="S10" s="75"/>
      <c r="T10" s="75"/>
      <c r="U10" s="75"/>
      <c r="V10" s="75"/>
      <c r="W10" s="75"/>
      <c r="X10" s="75"/>
      <c r="Y10" s="75"/>
      <c r="Z10" s="75"/>
    </row>
    <row r="11" ht="16.5" customHeight="1">
      <c r="A11" s="53"/>
      <c r="B11" s="55" t="s">
        <v>39</v>
      </c>
      <c r="C11" s="53" t="s">
        <v>29</v>
      </c>
      <c r="D11" s="57">
        <v>1397.0</v>
      </c>
      <c r="E11" s="61">
        <v>46080.0</v>
      </c>
      <c r="F11" s="63" t="s">
        <v>33</v>
      </c>
      <c r="G11" s="64">
        <v>46079.0</v>
      </c>
      <c r="H11" s="66" t="s">
        <v>35</v>
      </c>
      <c r="I11" s="68"/>
      <c r="J11" s="70"/>
      <c r="K11" s="70"/>
      <c r="L11" s="70"/>
      <c r="M11" s="70"/>
      <c r="N11" s="70"/>
      <c r="O11" s="70"/>
      <c r="P11" s="70"/>
      <c r="Q11" s="70"/>
      <c r="R11" s="70"/>
      <c r="S11" s="75"/>
      <c r="T11" s="75"/>
      <c r="U11" s="75"/>
      <c r="V11" s="75"/>
      <c r="W11" s="75"/>
      <c r="X11" s="75"/>
      <c r="Y11" s="75"/>
      <c r="Z11" s="75"/>
    </row>
    <row r="12" ht="16.5" customHeight="1">
      <c r="A12" s="53"/>
      <c r="B12" s="55" t="s">
        <v>28</v>
      </c>
      <c r="C12" s="53" t="s">
        <v>29</v>
      </c>
      <c r="D12" s="57">
        <v>1320.0</v>
      </c>
      <c r="E12" s="61">
        <v>46112.0</v>
      </c>
      <c r="F12" s="63" t="s">
        <v>33</v>
      </c>
      <c r="G12" s="64">
        <v>46140.0</v>
      </c>
      <c r="H12" s="66" t="s">
        <v>35</v>
      </c>
      <c r="I12" s="68"/>
      <c r="J12" s="70"/>
      <c r="K12" s="70"/>
      <c r="L12" s="70"/>
      <c r="M12" s="70"/>
      <c r="N12" s="70"/>
      <c r="O12" s="70"/>
      <c r="P12" s="70"/>
      <c r="Q12" s="70"/>
      <c r="R12" s="70"/>
      <c r="S12" s="75"/>
      <c r="T12" s="75"/>
      <c r="U12" s="75"/>
      <c r="V12" s="75"/>
      <c r="W12" s="75"/>
      <c r="X12" s="75"/>
      <c r="Y12" s="75"/>
      <c r="Z12" s="75"/>
    </row>
    <row r="13" ht="16.5" customHeight="1">
      <c r="A13" s="53"/>
      <c r="B13" s="55" t="s">
        <v>39</v>
      </c>
      <c r="C13" s="53" t="s">
        <v>29</v>
      </c>
      <c r="D13" s="57">
        <v>1397.0</v>
      </c>
      <c r="E13" s="61">
        <v>46112.0</v>
      </c>
      <c r="F13" s="63" t="s">
        <v>33</v>
      </c>
      <c r="G13" s="64">
        <v>46140.0</v>
      </c>
      <c r="H13" s="66" t="s">
        <v>35</v>
      </c>
      <c r="I13" s="68"/>
      <c r="J13" s="70"/>
      <c r="K13" s="70"/>
      <c r="L13" s="70"/>
      <c r="M13" s="70"/>
      <c r="N13" s="70"/>
      <c r="O13" s="70"/>
      <c r="P13" s="70"/>
      <c r="Q13" s="70"/>
      <c r="R13" s="70"/>
      <c r="S13" s="75"/>
      <c r="T13" s="75"/>
      <c r="U13" s="75"/>
      <c r="V13" s="75"/>
      <c r="W13" s="75"/>
      <c r="X13" s="75"/>
      <c r="Y13" s="75"/>
      <c r="Z13" s="75"/>
    </row>
    <row r="14" ht="16.5" customHeight="1">
      <c r="A14" s="53"/>
      <c r="B14" s="55" t="s">
        <v>28</v>
      </c>
      <c r="C14" s="53" t="s">
        <v>29</v>
      </c>
      <c r="D14" s="57">
        <v>1320.0</v>
      </c>
      <c r="E14" s="61">
        <v>46142.0</v>
      </c>
      <c r="F14" s="63" t="s">
        <v>33</v>
      </c>
      <c r="G14" s="64">
        <v>46161.0</v>
      </c>
      <c r="H14" s="66" t="s">
        <v>35</v>
      </c>
      <c r="I14" s="68"/>
      <c r="J14" s="70"/>
      <c r="K14" s="70"/>
      <c r="L14" s="70"/>
      <c r="M14" s="70"/>
      <c r="N14" s="70"/>
      <c r="O14" s="70"/>
      <c r="P14" s="70"/>
      <c r="Q14" s="70"/>
      <c r="R14" s="70"/>
      <c r="S14" s="75"/>
      <c r="T14" s="75"/>
      <c r="U14" s="75"/>
      <c r="V14" s="75"/>
      <c r="W14" s="75"/>
      <c r="X14" s="75"/>
      <c r="Y14" s="75"/>
      <c r="Z14" s="75"/>
    </row>
    <row r="15" ht="16.5" customHeight="1">
      <c r="A15" s="53"/>
      <c r="B15" s="55" t="s">
        <v>39</v>
      </c>
      <c r="C15" s="53" t="s">
        <v>29</v>
      </c>
      <c r="D15" s="57">
        <v>1397.0</v>
      </c>
      <c r="E15" s="61">
        <v>46142.0</v>
      </c>
      <c r="F15" s="63" t="s">
        <v>33</v>
      </c>
      <c r="G15" s="64">
        <v>46161.0</v>
      </c>
      <c r="H15" s="66" t="s">
        <v>35</v>
      </c>
      <c r="I15" s="68"/>
      <c r="J15" s="70"/>
      <c r="K15" s="70"/>
      <c r="L15" s="70"/>
      <c r="M15" s="70"/>
      <c r="N15" s="70"/>
      <c r="O15" s="70"/>
      <c r="P15" s="70"/>
      <c r="Q15" s="70"/>
      <c r="R15" s="70"/>
      <c r="S15" s="75"/>
      <c r="T15" s="75"/>
      <c r="U15" s="75"/>
      <c r="V15" s="75"/>
      <c r="W15" s="75"/>
      <c r="X15" s="75"/>
      <c r="Y15" s="75"/>
      <c r="Z15" s="75"/>
    </row>
    <row r="16" ht="16.5" customHeight="1">
      <c r="A16" s="53"/>
      <c r="B16" s="55" t="s">
        <v>28</v>
      </c>
      <c r="C16" s="53" t="s">
        <v>29</v>
      </c>
      <c r="D16" s="57">
        <v>1320.0</v>
      </c>
      <c r="E16" s="61">
        <v>46171.0</v>
      </c>
      <c r="F16" s="63" t="s">
        <v>33</v>
      </c>
      <c r="G16" s="64">
        <v>46182.0</v>
      </c>
      <c r="H16" s="66" t="s">
        <v>35</v>
      </c>
      <c r="I16" s="68"/>
      <c r="J16" s="70"/>
      <c r="K16" s="70"/>
      <c r="L16" s="70"/>
      <c r="M16" s="70"/>
      <c r="N16" s="70"/>
      <c r="O16" s="70"/>
      <c r="P16" s="70"/>
      <c r="Q16" s="70"/>
      <c r="R16" s="70"/>
      <c r="S16" s="75"/>
      <c r="T16" s="75"/>
      <c r="U16" s="75"/>
      <c r="V16" s="75"/>
      <c r="W16" s="75"/>
      <c r="X16" s="75"/>
      <c r="Y16" s="75"/>
      <c r="Z16" s="75"/>
    </row>
    <row r="17" ht="16.5" customHeight="1">
      <c r="A17" s="53"/>
      <c r="B17" s="55" t="s">
        <v>39</v>
      </c>
      <c r="C17" s="53" t="s">
        <v>29</v>
      </c>
      <c r="D17" s="57">
        <v>1397.0</v>
      </c>
      <c r="E17" s="61">
        <v>46171.0</v>
      </c>
      <c r="F17" s="63" t="s">
        <v>33</v>
      </c>
      <c r="G17" s="64">
        <v>46182.0</v>
      </c>
      <c r="H17" s="66" t="s">
        <v>35</v>
      </c>
      <c r="I17" s="68"/>
      <c r="J17" s="70"/>
      <c r="K17" s="70"/>
      <c r="L17" s="70"/>
      <c r="M17" s="70"/>
      <c r="N17" s="70"/>
      <c r="O17" s="70"/>
      <c r="P17" s="70"/>
      <c r="Q17" s="70"/>
      <c r="R17" s="70"/>
      <c r="S17" s="75"/>
      <c r="T17" s="75"/>
      <c r="U17" s="75"/>
      <c r="V17" s="75"/>
      <c r="W17" s="75"/>
      <c r="X17" s="75"/>
      <c r="Y17" s="75"/>
      <c r="Z17" s="75"/>
    </row>
    <row r="18" ht="16.5" customHeight="1">
      <c r="A18" s="53"/>
      <c r="B18" s="55" t="s">
        <v>28</v>
      </c>
      <c r="C18" s="53" t="s">
        <v>29</v>
      </c>
      <c r="D18" s="57">
        <v>1320.0</v>
      </c>
      <c r="E18" s="61">
        <v>46203.0</v>
      </c>
      <c r="F18" s="63" t="s">
        <v>33</v>
      </c>
      <c r="G18" s="64">
        <v>46202.0</v>
      </c>
      <c r="H18" s="66" t="s">
        <v>35</v>
      </c>
      <c r="I18" s="68"/>
      <c r="J18" s="70"/>
      <c r="K18" s="70"/>
      <c r="L18" s="70"/>
      <c r="M18" s="70"/>
      <c r="N18" s="70"/>
      <c r="O18" s="70"/>
      <c r="P18" s="70"/>
      <c r="Q18" s="70"/>
      <c r="R18" s="70"/>
      <c r="S18" s="75"/>
      <c r="T18" s="75"/>
      <c r="U18" s="75"/>
      <c r="V18" s="75"/>
      <c r="W18" s="75"/>
      <c r="X18" s="75"/>
      <c r="Y18" s="75"/>
      <c r="Z18" s="75"/>
    </row>
    <row r="19" ht="16.5" customHeight="1">
      <c r="A19" s="53"/>
      <c r="B19" s="55" t="s">
        <v>39</v>
      </c>
      <c r="C19" s="53" t="s">
        <v>29</v>
      </c>
      <c r="D19" s="57">
        <v>1397.0</v>
      </c>
      <c r="E19" s="61">
        <v>46203.0</v>
      </c>
      <c r="F19" s="63" t="s">
        <v>33</v>
      </c>
      <c r="G19" s="64">
        <v>46202.0</v>
      </c>
      <c r="H19" s="66" t="s">
        <v>35</v>
      </c>
      <c r="I19" s="68"/>
      <c r="J19" s="70"/>
      <c r="K19" s="70"/>
      <c r="L19" s="70"/>
      <c r="M19" s="70"/>
      <c r="N19" s="70"/>
      <c r="O19" s="70"/>
      <c r="P19" s="70"/>
      <c r="Q19" s="70"/>
      <c r="R19" s="70"/>
      <c r="S19" s="75"/>
      <c r="T19" s="75"/>
      <c r="U19" s="75"/>
      <c r="V19" s="75"/>
      <c r="W19" s="75"/>
      <c r="X19" s="75"/>
      <c r="Y19" s="75"/>
      <c r="Z19" s="75"/>
    </row>
    <row r="20" ht="16.5" customHeight="1">
      <c r="A20" s="53"/>
      <c r="B20" s="55" t="s">
        <v>28</v>
      </c>
      <c r="C20" s="53" t="s">
        <v>29</v>
      </c>
      <c r="D20" s="57">
        <v>1320.0</v>
      </c>
      <c r="E20" s="61">
        <v>46234.0</v>
      </c>
      <c r="F20" s="63" t="s">
        <v>33</v>
      </c>
      <c r="G20" s="64">
        <v>46240.0</v>
      </c>
      <c r="H20" s="66" t="s">
        <v>35</v>
      </c>
      <c r="I20" s="68"/>
      <c r="J20" s="70"/>
      <c r="K20" s="70"/>
      <c r="L20" s="70"/>
      <c r="M20" s="70"/>
      <c r="N20" s="70"/>
      <c r="O20" s="70"/>
      <c r="P20" s="70"/>
      <c r="Q20" s="70"/>
      <c r="R20" s="70"/>
      <c r="S20" s="75"/>
      <c r="T20" s="75"/>
      <c r="U20" s="75"/>
      <c r="V20" s="75"/>
      <c r="W20" s="75"/>
      <c r="X20" s="75"/>
      <c r="Y20" s="75"/>
      <c r="Z20" s="75"/>
    </row>
    <row r="21" ht="16.5" customHeight="1">
      <c r="A21" s="53"/>
      <c r="B21" s="55" t="s">
        <v>39</v>
      </c>
      <c r="C21" s="53" t="s">
        <v>29</v>
      </c>
      <c r="D21" s="57">
        <v>1397.0</v>
      </c>
      <c r="E21" s="61">
        <v>46234.0</v>
      </c>
      <c r="F21" s="63" t="s">
        <v>33</v>
      </c>
      <c r="G21" s="64">
        <v>46240.0</v>
      </c>
      <c r="H21" s="66" t="s">
        <v>35</v>
      </c>
      <c r="I21" s="68"/>
      <c r="J21" s="70"/>
      <c r="K21" s="70"/>
      <c r="L21" s="70"/>
      <c r="M21" s="70"/>
      <c r="N21" s="70"/>
      <c r="O21" s="70"/>
      <c r="P21" s="70"/>
      <c r="Q21" s="70"/>
      <c r="R21" s="70"/>
      <c r="S21" s="75"/>
      <c r="T21" s="75"/>
      <c r="U21" s="75"/>
      <c r="V21" s="75"/>
      <c r="W21" s="75"/>
      <c r="X21" s="75"/>
      <c r="Y21" s="75"/>
      <c r="Z21" s="75"/>
    </row>
    <row r="22" ht="16.5" customHeight="1">
      <c r="A22" s="53"/>
      <c r="B22" s="126" t="s">
        <v>74</v>
      </c>
      <c r="C22" s="63" t="s">
        <v>76</v>
      </c>
      <c r="D22" s="71">
        <v>2204.0</v>
      </c>
      <c r="E22" s="127">
        <v>46265.0</v>
      </c>
      <c r="F22" s="63" t="s">
        <v>67</v>
      </c>
      <c r="G22" s="128"/>
      <c r="H22" s="96"/>
      <c r="I22" s="68"/>
      <c r="J22" s="70"/>
      <c r="K22" s="70"/>
      <c r="L22" s="70"/>
      <c r="M22" s="70"/>
      <c r="N22" s="70"/>
      <c r="O22" s="70"/>
      <c r="P22" s="70"/>
      <c r="Q22" s="70"/>
      <c r="R22" s="70"/>
      <c r="S22" s="75"/>
      <c r="T22" s="75"/>
      <c r="U22" s="75"/>
      <c r="V22" s="75"/>
      <c r="W22" s="75"/>
      <c r="X22" s="75"/>
      <c r="Y22" s="75"/>
      <c r="Z22" s="75"/>
    </row>
    <row r="23" ht="16.5" customHeight="1">
      <c r="A23" s="53"/>
      <c r="B23" s="126" t="s">
        <v>74</v>
      </c>
      <c r="C23" s="63" t="s">
        <v>79</v>
      </c>
      <c r="D23" s="71">
        <v>466.0</v>
      </c>
      <c r="E23" s="127">
        <v>46265.0</v>
      </c>
      <c r="F23" s="63" t="s">
        <v>67</v>
      </c>
      <c r="G23" s="128"/>
      <c r="H23" s="96"/>
      <c r="I23" s="68"/>
      <c r="J23" s="70"/>
      <c r="K23" s="70"/>
      <c r="L23" s="70"/>
      <c r="M23" s="70"/>
      <c r="N23" s="70"/>
      <c r="O23" s="70"/>
      <c r="P23" s="70"/>
      <c r="Q23" s="70"/>
      <c r="R23" s="70"/>
      <c r="S23" s="75"/>
      <c r="T23" s="75"/>
      <c r="U23" s="75"/>
      <c r="V23" s="75"/>
      <c r="W23" s="75"/>
      <c r="X23" s="75"/>
      <c r="Y23" s="75"/>
      <c r="Z23" s="75"/>
    </row>
    <row r="24" ht="16.5" customHeight="1">
      <c r="A24" s="53"/>
      <c r="B24" s="55" t="s">
        <v>28</v>
      </c>
      <c r="C24" s="53" t="s">
        <v>29</v>
      </c>
      <c r="D24" s="57">
        <v>1320.0</v>
      </c>
      <c r="E24" s="61">
        <v>46265.0</v>
      </c>
      <c r="F24" s="53" t="s">
        <v>67</v>
      </c>
      <c r="G24" s="128"/>
      <c r="H24" s="96"/>
      <c r="I24" s="68"/>
      <c r="J24" s="70"/>
      <c r="K24" s="70"/>
      <c r="L24" s="70"/>
      <c r="M24" s="70"/>
      <c r="N24" s="70"/>
      <c r="O24" s="70"/>
      <c r="P24" s="70"/>
      <c r="Q24" s="70"/>
      <c r="R24" s="70"/>
      <c r="S24" s="75"/>
      <c r="T24" s="75"/>
      <c r="U24" s="75"/>
      <c r="V24" s="75"/>
      <c r="W24" s="75"/>
      <c r="X24" s="75"/>
      <c r="Y24" s="75"/>
      <c r="Z24" s="75"/>
    </row>
    <row r="25" ht="16.5" customHeight="1">
      <c r="A25" s="53"/>
      <c r="B25" s="55" t="s">
        <v>39</v>
      </c>
      <c r="C25" s="53" t="s">
        <v>29</v>
      </c>
      <c r="D25" s="57">
        <v>1397.0</v>
      </c>
      <c r="E25" s="61">
        <v>46265.0</v>
      </c>
      <c r="F25" s="53" t="s">
        <v>67</v>
      </c>
      <c r="G25" s="128"/>
      <c r="H25" s="96"/>
      <c r="I25" s="68"/>
      <c r="J25" s="70"/>
      <c r="K25" s="70"/>
      <c r="L25" s="70"/>
      <c r="M25" s="70"/>
      <c r="N25" s="70"/>
      <c r="O25" s="70"/>
      <c r="P25" s="70"/>
      <c r="Q25" s="70"/>
      <c r="R25" s="70"/>
      <c r="S25" s="75"/>
      <c r="T25" s="75"/>
      <c r="U25" s="75"/>
      <c r="V25" s="75"/>
      <c r="W25" s="75"/>
      <c r="X25" s="75"/>
      <c r="Y25" s="75"/>
      <c r="Z25" s="75"/>
    </row>
    <row r="26" ht="16.5" customHeight="1">
      <c r="A26" s="53"/>
      <c r="B26" s="55" t="s">
        <v>28</v>
      </c>
      <c r="C26" s="53" t="s">
        <v>29</v>
      </c>
      <c r="D26" s="57">
        <v>1320.0</v>
      </c>
      <c r="E26" s="61">
        <v>46295.0</v>
      </c>
      <c r="F26" s="53" t="s">
        <v>67</v>
      </c>
      <c r="G26" s="128"/>
      <c r="H26" s="96"/>
      <c r="I26" s="68"/>
      <c r="J26" s="70"/>
      <c r="K26" s="70"/>
      <c r="L26" s="70"/>
      <c r="M26" s="70"/>
      <c r="N26" s="70"/>
      <c r="O26" s="70"/>
      <c r="P26" s="70"/>
      <c r="Q26" s="70"/>
      <c r="R26" s="70"/>
      <c r="S26" s="75"/>
      <c r="T26" s="75"/>
      <c r="U26" s="75"/>
      <c r="V26" s="75"/>
      <c r="W26" s="75"/>
      <c r="X26" s="75"/>
      <c r="Y26" s="75"/>
      <c r="Z26" s="75"/>
    </row>
    <row r="27" ht="16.5" customHeight="1">
      <c r="A27" s="53"/>
      <c r="B27" s="55" t="s">
        <v>39</v>
      </c>
      <c r="C27" s="53" t="s">
        <v>29</v>
      </c>
      <c r="D27" s="57">
        <v>1397.0</v>
      </c>
      <c r="E27" s="61">
        <v>46295.0</v>
      </c>
      <c r="F27" s="53" t="s">
        <v>67</v>
      </c>
      <c r="G27" s="128"/>
      <c r="H27" s="96"/>
      <c r="I27" s="68"/>
      <c r="J27" s="70"/>
      <c r="K27" s="70"/>
      <c r="L27" s="70"/>
      <c r="M27" s="70"/>
      <c r="N27" s="70"/>
      <c r="O27" s="70"/>
      <c r="P27" s="70"/>
      <c r="Q27" s="70"/>
      <c r="R27" s="70"/>
      <c r="S27" s="75"/>
      <c r="T27" s="75"/>
      <c r="U27" s="75"/>
      <c r="V27" s="75"/>
      <c r="W27" s="75"/>
      <c r="X27" s="75"/>
      <c r="Y27" s="75"/>
      <c r="Z27" s="75"/>
    </row>
    <row r="28" ht="16.5" customHeight="1">
      <c r="A28" s="53"/>
      <c r="B28" s="126" t="s">
        <v>74</v>
      </c>
      <c r="C28" s="63" t="s">
        <v>29</v>
      </c>
      <c r="D28" s="71">
        <v>628.0</v>
      </c>
      <c r="E28" s="132">
        <v>46295.0</v>
      </c>
      <c r="F28" s="63" t="s">
        <v>67</v>
      </c>
      <c r="G28" s="128"/>
      <c r="H28" s="96"/>
      <c r="I28" s="68"/>
      <c r="J28" s="70"/>
      <c r="K28" s="70"/>
      <c r="L28" s="70"/>
      <c r="M28" s="70"/>
      <c r="N28" s="70"/>
      <c r="O28" s="70"/>
      <c r="P28" s="70"/>
      <c r="Q28" s="70"/>
      <c r="R28" s="70"/>
      <c r="S28" s="75"/>
      <c r="T28" s="75"/>
      <c r="U28" s="75"/>
      <c r="V28" s="75"/>
      <c r="W28" s="75"/>
      <c r="X28" s="75"/>
      <c r="Y28" s="75"/>
      <c r="Z28" s="75"/>
    </row>
    <row r="29" ht="16.5" customHeight="1">
      <c r="A29" s="53"/>
      <c r="B29" s="55" t="s">
        <v>28</v>
      </c>
      <c r="C29" s="53" t="s">
        <v>29</v>
      </c>
      <c r="D29" s="57">
        <v>1320.0</v>
      </c>
      <c r="E29" s="132">
        <v>46325.0</v>
      </c>
      <c r="F29" s="53" t="s">
        <v>67</v>
      </c>
      <c r="G29" s="128"/>
      <c r="H29" s="96"/>
      <c r="I29" s="68"/>
      <c r="J29" s="70"/>
      <c r="K29" s="70"/>
      <c r="L29" s="70"/>
      <c r="M29" s="70"/>
      <c r="N29" s="70"/>
      <c r="O29" s="70"/>
      <c r="P29" s="70"/>
      <c r="Q29" s="70"/>
      <c r="R29" s="70"/>
      <c r="S29" s="75"/>
      <c r="T29" s="75"/>
      <c r="U29" s="75"/>
      <c r="V29" s="75"/>
      <c r="W29" s="75"/>
      <c r="X29" s="75"/>
      <c r="Y29" s="75"/>
      <c r="Z29" s="75"/>
    </row>
    <row r="30" ht="16.5" customHeight="1">
      <c r="A30" s="53"/>
      <c r="B30" s="55" t="s">
        <v>39</v>
      </c>
      <c r="C30" s="53" t="s">
        <v>29</v>
      </c>
      <c r="D30" s="57">
        <v>1397.0</v>
      </c>
      <c r="E30" s="132">
        <v>46325.0</v>
      </c>
      <c r="F30" s="53" t="s">
        <v>67</v>
      </c>
      <c r="G30" s="128"/>
      <c r="H30" s="96"/>
      <c r="I30" s="68"/>
      <c r="J30" s="70"/>
      <c r="K30" s="70"/>
      <c r="L30" s="70"/>
      <c r="M30" s="70"/>
      <c r="N30" s="70"/>
      <c r="O30" s="70"/>
      <c r="P30" s="70"/>
      <c r="Q30" s="70"/>
      <c r="R30" s="70"/>
      <c r="S30" s="75"/>
      <c r="T30" s="75"/>
      <c r="U30" s="75"/>
      <c r="V30" s="75"/>
      <c r="W30" s="75"/>
      <c r="X30" s="75"/>
      <c r="Y30" s="75"/>
      <c r="Z30" s="75"/>
    </row>
    <row r="31" ht="16.5" customHeight="1">
      <c r="A31" s="53"/>
      <c r="B31" s="126" t="s">
        <v>74</v>
      </c>
      <c r="C31" s="63" t="s">
        <v>29</v>
      </c>
      <c r="D31" s="71">
        <v>628.0</v>
      </c>
      <c r="E31" s="132">
        <v>46325.0</v>
      </c>
      <c r="F31" s="63" t="s">
        <v>67</v>
      </c>
      <c r="G31" s="128"/>
      <c r="H31" s="96"/>
      <c r="I31" s="68"/>
      <c r="J31" s="70"/>
      <c r="K31" s="70"/>
      <c r="L31" s="70"/>
      <c r="M31" s="70"/>
      <c r="N31" s="70"/>
      <c r="O31" s="70"/>
      <c r="P31" s="70"/>
      <c r="Q31" s="70"/>
      <c r="R31" s="70"/>
      <c r="S31" s="75"/>
      <c r="T31" s="75"/>
      <c r="U31" s="75"/>
      <c r="V31" s="75"/>
      <c r="W31" s="75"/>
      <c r="X31" s="75"/>
      <c r="Y31" s="75"/>
      <c r="Z31" s="75"/>
    </row>
    <row r="32" ht="16.5" customHeight="1">
      <c r="A32" s="53"/>
      <c r="B32" s="55" t="s">
        <v>28</v>
      </c>
      <c r="C32" s="53" t="s">
        <v>29</v>
      </c>
      <c r="D32" s="57">
        <v>1320.0</v>
      </c>
      <c r="E32" s="61">
        <v>46356.0</v>
      </c>
      <c r="F32" s="53" t="s">
        <v>67</v>
      </c>
      <c r="G32" s="128"/>
      <c r="H32" s="96"/>
      <c r="I32" s="68"/>
      <c r="J32" s="70"/>
      <c r="K32" s="70"/>
      <c r="L32" s="70"/>
      <c r="M32" s="70"/>
      <c r="N32" s="70"/>
      <c r="O32" s="70"/>
      <c r="P32" s="70"/>
      <c r="Q32" s="70"/>
      <c r="R32" s="70"/>
      <c r="S32" s="75"/>
      <c r="T32" s="75"/>
      <c r="U32" s="75"/>
      <c r="V32" s="75"/>
      <c r="W32" s="75"/>
      <c r="X32" s="75"/>
      <c r="Y32" s="75"/>
      <c r="Z32" s="75"/>
    </row>
    <row r="33" ht="16.5" customHeight="1">
      <c r="A33" s="53"/>
      <c r="B33" s="55" t="s">
        <v>39</v>
      </c>
      <c r="C33" s="53" t="s">
        <v>29</v>
      </c>
      <c r="D33" s="57">
        <v>1397.0</v>
      </c>
      <c r="E33" s="61">
        <v>46356.0</v>
      </c>
      <c r="F33" s="53" t="s">
        <v>67</v>
      </c>
      <c r="G33" s="128"/>
      <c r="H33" s="96"/>
      <c r="I33" s="68"/>
      <c r="J33" s="70"/>
      <c r="K33" s="70"/>
      <c r="L33" s="70"/>
      <c r="M33" s="70"/>
      <c r="N33" s="70"/>
      <c r="O33" s="70"/>
      <c r="P33" s="70"/>
      <c r="Q33" s="70"/>
      <c r="R33" s="70"/>
      <c r="S33" s="75"/>
      <c r="T33" s="75"/>
      <c r="U33" s="75"/>
      <c r="V33" s="75"/>
      <c r="W33" s="75"/>
      <c r="X33" s="75"/>
      <c r="Y33" s="75"/>
      <c r="Z33" s="75"/>
    </row>
    <row r="34" ht="16.5" customHeight="1">
      <c r="A34" s="53"/>
      <c r="B34" s="126" t="s">
        <v>74</v>
      </c>
      <c r="C34" s="63" t="s">
        <v>29</v>
      </c>
      <c r="D34" s="71">
        <v>628.0</v>
      </c>
      <c r="E34" s="132">
        <v>46356.0</v>
      </c>
      <c r="F34" s="63" t="s">
        <v>67</v>
      </c>
      <c r="G34" s="128"/>
      <c r="H34" s="96"/>
      <c r="I34" s="68"/>
      <c r="J34" s="70"/>
      <c r="K34" s="70"/>
      <c r="L34" s="70"/>
      <c r="M34" s="70"/>
      <c r="N34" s="70"/>
      <c r="O34" s="70"/>
      <c r="P34" s="70"/>
      <c r="Q34" s="70"/>
      <c r="R34" s="70"/>
      <c r="S34" s="75"/>
      <c r="T34" s="75"/>
      <c r="U34" s="75"/>
      <c r="V34" s="75"/>
      <c r="W34" s="75"/>
      <c r="X34" s="75"/>
      <c r="Y34" s="75"/>
      <c r="Z34" s="75"/>
    </row>
    <row r="35" ht="16.5" customHeight="1">
      <c r="A35" s="53"/>
      <c r="B35" s="55" t="s">
        <v>28</v>
      </c>
      <c r="C35" s="53" t="s">
        <v>29</v>
      </c>
      <c r="D35" s="57">
        <v>1320.0</v>
      </c>
      <c r="E35" s="61">
        <v>46387.0</v>
      </c>
      <c r="F35" s="53" t="s">
        <v>67</v>
      </c>
      <c r="G35" s="128"/>
      <c r="H35" s="96"/>
      <c r="I35" s="68"/>
      <c r="J35" s="70"/>
      <c r="K35" s="70"/>
      <c r="L35" s="70"/>
      <c r="M35" s="70"/>
      <c r="N35" s="70"/>
      <c r="O35" s="70"/>
      <c r="P35" s="70"/>
      <c r="Q35" s="70"/>
      <c r="R35" s="70"/>
      <c r="S35" s="75"/>
      <c r="T35" s="75"/>
      <c r="U35" s="75"/>
      <c r="V35" s="75"/>
      <c r="W35" s="75"/>
      <c r="X35" s="75"/>
      <c r="Y35" s="75"/>
      <c r="Z35" s="75"/>
    </row>
    <row r="36" ht="16.5" customHeight="1">
      <c r="A36" s="53"/>
      <c r="B36" s="55" t="s">
        <v>39</v>
      </c>
      <c r="C36" s="53" t="s">
        <v>29</v>
      </c>
      <c r="D36" s="57">
        <v>1397.0</v>
      </c>
      <c r="E36" s="61">
        <v>46387.0</v>
      </c>
      <c r="F36" s="53" t="s">
        <v>67</v>
      </c>
      <c r="G36" s="128"/>
      <c r="H36" s="96"/>
      <c r="I36" s="68"/>
      <c r="J36" s="70"/>
      <c r="K36" s="70"/>
      <c r="L36" s="70"/>
      <c r="M36" s="70"/>
      <c r="N36" s="70"/>
      <c r="O36" s="70"/>
      <c r="P36" s="70"/>
      <c r="Q36" s="70"/>
      <c r="R36" s="70"/>
      <c r="S36" s="75"/>
      <c r="T36" s="75"/>
      <c r="U36" s="75"/>
      <c r="V36" s="75"/>
      <c r="W36" s="75"/>
      <c r="X36" s="75"/>
      <c r="Y36" s="75"/>
      <c r="Z36" s="75"/>
    </row>
    <row r="37" ht="16.5" customHeight="1">
      <c r="A37" s="53"/>
      <c r="B37" s="126" t="s">
        <v>74</v>
      </c>
      <c r="C37" s="63" t="s">
        <v>29</v>
      </c>
      <c r="D37" s="71">
        <v>628.0</v>
      </c>
      <c r="E37" s="132">
        <v>46387.0</v>
      </c>
      <c r="F37" s="63" t="s">
        <v>67</v>
      </c>
      <c r="G37" s="128"/>
      <c r="H37" s="96"/>
      <c r="I37" s="68"/>
      <c r="J37" s="70"/>
      <c r="K37" s="70"/>
      <c r="L37" s="70"/>
      <c r="M37" s="70"/>
      <c r="N37" s="70"/>
      <c r="O37" s="70"/>
      <c r="P37" s="70"/>
      <c r="Q37" s="70"/>
      <c r="R37" s="70"/>
      <c r="S37" s="75"/>
      <c r="T37" s="75"/>
      <c r="U37" s="75"/>
      <c r="V37" s="75"/>
      <c r="W37" s="75"/>
      <c r="X37" s="75"/>
      <c r="Y37" s="75"/>
      <c r="Z37" s="75"/>
    </row>
    <row r="38" ht="16.5" customHeight="1">
      <c r="A38" s="53"/>
      <c r="B38" s="55" t="s">
        <v>28</v>
      </c>
      <c r="C38" s="53" t="s">
        <v>29</v>
      </c>
      <c r="D38" s="57">
        <v>1320.0</v>
      </c>
      <c r="E38" s="61">
        <v>46418.0</v>
      </c>
      <c r="F38" s="53" t="s">
        <v>67</v>
      </c>
      <c r="G38" s="128"/>
      <c r="H38" s="96"/>
      <c r="I38" s="68"/>
      <c r="J38" s="70"/>
      <c r="K38" s="70"/>
      <c r="L38" s="70"/>
      <c r="M38" s="70"/>
      <c r="N38" s="70"/>
      <c r="O38" s="70"/>
      <c r="P38" s="70"/>
      <c r="Q38" s="70"/>
      <c r="R38" s="70"/>
      <c r="S38" s="75"/>
      <c r="T38" s="75"/>
      <c r="U38" s="75"/>
      <c r="V38" s="75"/>
      <c r="W38" s="75"/>
      <c r="X38" s="75"/>
      <c r="Y38" s="75"/>
      <c r="Z38" s="75"/>
    </row>
    <row r="39" ht="16.5" customHeight="1">
      <c r="A39" s="53"/>
      <c r="B39" s="55" t="s">
        <v>39</v>
      </c>
      <c r="C39" s="53" t="s">
        <v>29</v>
      </c>
      <c r="D39" s="57">
        <v>1397.0</v>
      </c>
      <c r="E39" s="61">
        <v>46416.0</v>
      </c>
      <c r="F39" s="53" t="s">
        <v>67</v>
      </c>
      <c r="G39" s="128"/>
      <c r="H39" s="96"/>
      <c r="I39" s="68"/>
      <c r="J39" s="70"/>
      <c r="K39" s="70"/>
      <c r="L39" s="70"/>
      <c r="M39" s="70"/>
      <c r="N39" s="70"/>
      <c r="O39" s="70"/>
      <c r="P39" s="70"/>
      <c r="Q39" s="70"/>
      <c r="R39" s="70"/>
      <c r="S39" s="75"/>
      <c r="T39" s="75"/>
      <c r="U39" s="75"/>
      <c r="V39" s="75"/>
      <c r="W39" s="75"/>
      <c r="X39" s="75"/>
      <c r="Y39" s="75"/>
      <c r="Z39" s="75"/>
    </row>
    <row r="40" ht="16.5" customHeight="1">
      <c r="A40" s="53"/>
      <c r="B40" s="126" t="s">
        <v>74</v>
      </c>
      <c r="C40" s="63" t="s">
        <v>29</v>
      </c>
      <c r="D40" s="71">
        <v>628.0</v>
      </c>
      <c r="E40" s="132">
        <v>46416.0</v>
      </c>
      <c r="F40" s="63" t="s">
        <v>67</v>
      </c>
      <c r="G40" s="128"/>
      <c r="H40" s="96"/>
      <c r="I40" s="68"/>
      <c r="J40" s="70"/>
      <c r="K40" s="70"/>
      <c r="L40" s="70"/>
      <c r="M40" s="70"/>
      <c r="N40" s="70"/>
      <c r="O40" s="70"/>
      <c r="P40" s="70"/>
      <c r="Q40" s="70"/>
      <c r="R40" s="70"/>
      <c r="S40" s="75"/>
      <c r="T40" s="75"/>
      <c r="U40" s="75"/>
      <c r="V40" s="75"/>
      <c r="W40" s="75"/>
      <c r="X40" s="75"/>
      <c r="Y40" s="75"/>
      <c r="Z40" s="75"/>
    </row>
    <row r="41" ht="16.5" customHeight="1">
      <c r="A41" s="53"/>
      <c r="B41" s="55" t="s">
        <v>28</v>
      </c>
      <c r="C41" s="53" t="s">
        <v>29</v>
      </c>
      <c r="D41" s="57">
        <v>1320.0</v>
      </c>
      <c r="E41" s="61">
        <v>46446.0</v>
      </c>
      <c r="F41" s="53" t="s">
        <v>67</v>
      </c>
      <c r="G41" s="128"/>
      <c r="H41" s="96"/>
      <c r="I41" s="68"/>
      <c r="J41" s="70"/>
      <c r="K41" s="70"/>
      <c r="L41" s="70"/>
      <c r="M41" s="70"/>
      <c r="N41" s="70"/>
      <c r="O41" s="70"/>
      <c r="P41" s="70"/>
      <c r="Q41" s="70"/>
      <c r="R41" s="70"/>
      <c r="S41" s="75"/>
      <c r="T41" s="75"/>
      <c r="U41" s="75"/>
      <c r="V41" s="75"/>
      <c r="W41" s="75"/>
      <c r="X41" s="75"/>
      <c r="Y41" s="75"/>
      <c r="Z41" s="75"/>
    </row>
    <row r="42" ht="16.5" customHeight="1">
      <c r="A42" s="53"/>
      <c r="B42" s="55" t="s">
        <v>39</v>
      </c>
      <c r="C42" s="53" t="s">
        <v>29</v>
      </c>
      <c r="D42" s="57">
        <v>1397.0</v>
      </c>
      <c r="E42" s="61">
        <v>46444.0</v>
      </c>
      <c r="F42" s="53" t="s">
        <v>67</v>
      </c>
      <c r="G42" s="128"/>
      <c r="H42" s="96"/>
      <c r="I42" s="68"/>
      <c r="J42" s="70"/>
      <c r="K42" s="70"/>
      <c r="L42" s="70"/>
      <c r="M42" s="70"/>
      <c r="N42" s="70"/>
      <c r="O42" s="70"/>
      <c r="P42" s="70"/>
      <c r="Q42" s="70"/>
      <c r="R42" s="70"/>
      <c r="S42" s="75"/>
      <c r="T42" s="75"/>
      <c r="U42" s="75"/>
      <c r="V42" s="75"/>
      <c r="W42" s="75"/>
      <c r="X42" s="75"/>
      <c r="Y42" s="75"/>
      <c r="Z42" s="75"/>
    </row>
    <row r="43" ht="16.5" customHeight="1">
      <c r="A43" s="53"/>
      <c r="B43" s="126" t="s">
        <v>74</v>
      </c>
      <c r="C43" s="63" t="s">
        <v>29</v>
      </c>
      <c r="D43" s="71">
        <v>628.0</v>
      </c>
      <c r="E43" s="132">
        <v>46444.0</v>
      </c>
      <c r="F43" s="63" t="s">
        <v>67</v>
      </c>
      <c r="G43" s="128"/>
      <c r="H43" s="96"/>
      <c r="I43" s="68"/>
      <c r="J43" s="70"/>
      <c r="K43" s="70"/>
      <c r="L43" s="70"/>
      <c r="M43" s="70"/>
      <c r="N43" s="70"/>
      <c r="O43" s="70"/>
      <c r="P43" s="70"/>
      <c r="Q43" s="70"/>
      <c r="R43" s="70"/>
      <c r="S43" s="75"/>
      <c r="T43" s="75"/>
      <c r="U43" s="75"/>
      <c r="V43" s="75"/>
      <c r="W43" s="75"/>
      <c r="X43" s="75"/>
      <c r="Y43" s="75"/>
      <c r="Z43" s="75"/>
    </row>
    <row r="44" ht="16.5" customHeight="1">
      <c r="A44" s="53"/>
      <c r="B44" s="55" t="s">
        <v>28</v>
      </c>
      <c r="C44" s="53" t="s">
        <v>29</v>
      </c>
      <c r="D44" s="57">
        <v>1320.0</v>
      </c>
      <c r="E44" s="61">
        <v>46477.0</v>
      </c>
      <c r="F44" s="53" t="s">
        <v>67</v>
      </c>
      <c r="G44" s="128"/>
      <c r="H44" s="96"/>
      <c r="I44" s="68"/>
      <c r="J44" s="70"/>
      <c r="K44" s="70"/>
      <c r="L44" s="70"/>
      <c r="M44" s="70"/>
      <c r="N44" s="70"/>
      <c r="O44" s="70"/>
      <c r="P44" s="70"/>
      <c r="Q44" s="70"/>
      <c r="R44" s="70"/>
      <c r="S44" s="75"/>
      <c r="T44" s="75"/>
      <c r="U44" s="75"/>
      <c r="V44" s="75"/>
      <c r="W44" s="75"/>
      <c r="X44" s="75"/>
      <c r="Y44" s="75"/>
      <c r="Z44" s="75"/>
    </row>
    <row r="45" ht="16.5" customHeight="1">
      <c r="A45" s="53"/>
      <c r="B45" s="126" t="s">
        <v>74</v>
      </c>
      <c r="C45" s="63" t="s">
        <v>29</v>
      </c>
      <c r="D45" s="71">
        <v>628.0</v>
      </c>
      <c r="E45" s="132">
        <v>46477.0</v>
      </c>
      <c r="F45" s="63" t="s">
        <v>67</v>
      </c>
      <c r="G45" s="128"/>
      <c r="H45" s="96"/>
      <c r="I45" s="68"/>
      <c r="J45" s="70"/>
      <c r="K45" s="70"/>
      <c r="L45" s="70"/>
      <c r="M45" s="70"/>
      <c r="N45" s="70"/>
      <c r="O45" s="70"/>
      <c r="P45" s="70"/>
      <c r="Q45" s="70"/>
      <c r="R45" s="70"/>
      <c r="S45" s="75"/>
      <c r="T45" s="75"/>
      <c r="U45" s="75"/>
      <c r="V45" s="75"/>
      <c r="W45" s="75"/>
      <c r="X45" s="75"/>
      <c r="Y45" s="75"/>
      <c r="Z45" s="75"/>
    </row>
    <row r="46" ht="16.5" customHeight="1">
      <c r="A46" s="53"/>
      <c r="B46" s="55" t="s">
        <v>28</v>
      </c>
      <c r="C46" s="53" t="s">
        <v>29</v>
      </c>
      <c r="D46" s="57">
        <v>1320.0</v>
      </c>
      <c r="E46" s="61">
        <v>46507.0</v>
      </c>
      <c r="F46" s="53" t="s">
        <v>67</v>
      </c>
      <c r="G46" s="128"/>
      <c r="H46" s="96"/>
      <c r="I46" s="68"/>
      <c r="J46" s="70"/>
      <c r="K46" s="70"/>
      <c r="L46" s="70"/>
      <c r="M46" s="70"/>
      <c r="N46" s="70"/>
      <c r="O46" s="70"/>
      <c r="P46" s="70"/>
      <c r="Q46" s="70"/>
      <c r="R46" s="70"/>
      <c r="S46" s="75"/>
      <c r="T46" s="75"/>
      <c r="U46" s="75"/>
      <c r="V46" s="75"/>
      <c r="W46" s="75"/>
      <c r="X46" s="75"/>
      <c r="Y46" s="75"/>
      <c r="Z46" s="75"/>
    </row>
    <row r="47" ht="16.5" customHeight="1">
      <c r="A47" s="53"/>
      <c r="B47" s="126" t="s">
        <v>74</v>
      </c>
      <c r="C47" s="63" t="s">
        <v>29</v>
      </c>
      <c r="D47" s="71">
        <v>628.0</v>
      </c>
      <c r="E47" s="132">
        <v>46507.0</v>
      </c>
      <c r="F47" s="63" t="s">
        <v>67</v>
      </c>
      <c r="G47" s="128"/>
      <c r="H47" s="96"/>
      <c r="I47" s="68"/>
      <c r="J47" s="70"/>
      <c r="K47" s="70"/>
      <c r="L47" s="70"/>
      <c r="M47" s="70"/>
      <c r="N47" s="70"/>
      <c r="O47" s="70"/>
      <c r="P47" s="70"/>
      <c r="Q47" s="70"/>
      <c r="R47" s="70"/>
      <c r="S47" s="75"/>
      <c r="T47" s="75"/>
      <c r="U47" s="75"/>
      <c r="V47" s="75"/>
      <c r="W47" s="75"/>
      <c r="X47" s="75"/>
      <c r="Y47" s="75"/>
      <c r="Z47" s="75"/>
    </row>
    <row r="48" ht="16.5" customHeight="1">
      <c r="A48" s="53"/>
      <c r="B48" s="55" t="s">
        <v>28</v>
      </c>
      <c r="C48" s="53" t="s">
        <v>29</v>
      </c>
      <c r="D48" s="57">
        <v>1320.0</v>
      </c>
      <c r="E48" s="61">
        <v>46538.0</v>
      </c>
      <c r="F48" s="53" t="s">
        <v>67</v>
      </c>
      <c r="G48" s="128"/>
      <c r="H48" s="96"/>
      <c r="I48" s="68"/>
      <c r="J48" s="70"/>
      <c r="K48" s="70"/>
      <c r="L48" s="70"/>
      <c r="M48" s="70"/>
      <c r="N48" s="70"/>
      <c r="O48" s="70"/>
      <c r="P48" s="70"/>
      <c r="Q48" s="70"/>
      <c r="R48" s="70"/>
      <c r="S48" s="75"/>
      <c r="T48" s="75"/>
      <c r="U48" s="75"/>
      <c r="V48" s="75"/>
      <c r="W48" s="75"/>
      <c r="X48" s="75"/>
      <c r="Y48" s="75"/>
      <c r="Z48" s="75"/>
    </row>
    <row r="49" ht="16.5" customHeight="1">
      <c r="A49" s="53"/>
      <c r="B49" s="126" t="s">
        <v>74</v>
      </c>
      <c r="C49" s="63" t="s">
        <v>29</v>
      </c>
      <c r="D49" s="71">
        <v>628.0</v>
      </c>
      <c r="E49" s="132">
        <v>46538.0</v>
      </c>
      <c r="F49" s="63" t="s">
        <v>67</v>
      </c>
      <c r="G49" s="128"/>
      <c r="H49" s="96"/>
      <c r="I49" s="68"/>
      <c r="J49" s="70"/>
      <c r="K49" s="70"/>
      <c r="L49" s="70"/>
      <c r="M49" s="70"/>
      <c r="N49" s="70"/>
      <c r="O49" s="70"/>
      <c r="P49" s="70"/>
      <c r="Q49" s="70"/>
      <c r="R49" s="70"/>
      <c r="S49" s="75"/>
      <c r="T49" s="75"/>
      <c r="U49" s="75"/>
      <c r="V49" s="75"/>
      <c r="W49" s="75"/>
      <c r="X49" s="75"/>
      <c r="Y49" s="75"/>
      <c r="Z49" s="75"/>
    </row>
    <row r="50" ht="16.5" customHeight="1">
      <c r="A50" s="53"/>
      <c r="B50" s="55" t="s">
        <v>28</v>
      </c>
      <c r="C50" s="53" t="s">
        <v>29</v>
      </c>
      <c r="D50" s="57">
        <v>1320.0</v>
      </c>
      <c r="E50" s="61">
        <v>46568.0</v>
      </c>
      <c r="F50" s="53" t="s">
        <v>67</v>
      </c>
      <c r="G50" s="128"/>
      <c r="H50" s="96"/>
      <c r="I50" s="68"/>
      <c r="J50" s="70"/>
      <c r="K50" s="70"/>
      <c r="L50" s="70"/>
      <c r="M50" s="70"/>
      <c r="N50" s="70"/>
      <c r="O50" s="70"/>
      <c r="P50" s="70"/>
      <c r="Q50" s="70"/>
      <c r="R50" s="70"/>
      <c r="S50" s="75"/>
      <c r="T50" s="75"/>
      <c r="U50" s="75"/>
      <c r="V50" s="75"/>
      <c r="W50" s="75"/>
      <c r="X50" s="75"/>
      <c r="Y50" s="75"/>
      <c r="Z50" s="75"/>
    </row>
    <row r="51" ht="16.5" customHeight="1">
      <c r="A51" s="53"/>
      <c r="B51" s="126" t="s">
        <v>74</v>
      </c>
      <c r="C51" s="63" t="s">
        <v>29</v>
      </c>
      <c r="D51" s="71">
        <v>628.0</v>
      </c>
      <c r="E51" s="132">
        <v>46568.0</v>
      </c>
      <c r="F51" s="63" t="s">
        <v>67</v>
      </c>
      <c r="G51" s="128"/>
      <c r="H51" s="96"/>
      <c r="I51" s="68"/>
      <c r="J51" s="70"/>
      <c r="K51" s="70"/>
      <c r="L51" s="70"/>
      <c r="M51" s="70"/>
      <c r="N51" s="70"/>
      <c r="O51" s="70"/>
      <c r="P51" s="70"/>
      <c r="Q51" s="70"/>
      <c r="R51" s="70"/>
      <c r="S51" s="75"/>
      <c r="T51" s="75"/>
      <c r="U51" s="75"/>
      <c r="V51" s="75"/>
      <c r="W51" s="75"/>
      <c r="X51" s="75"/>
      <c r="Y51" s="75"/>
      <c r="Z51" s="75"/>
    </row>
    <row r="52" ht="16.5" customHeight="1">
      <c r="A52" s="53"/>
      <c r="B52" s="55" t="s">
        <v>28</v>
      </c>
      <c r="C52" s="53" t="s">
        <v>29</v>
      </c>
      <c r="D52" s="57">
        <v>1320.0</v>
      </c>
      <c r="E52" s="61">
        <v>46599.0</v>
      </c>
      <c r="F52" s="53" t="s">
        <v>67</v>
      </c>
      <c r="G52" s="128"/>
      <c r="H52" s="96"/>
      <c r="I52" s="68"/>
      <c r="J52" s="70"/>
      <c r="K52" s="70"/>
      <c r="L52" s="70"/>
      <c r="M52" s="70"/>
      <c r="N52" s="70"/>
      <c r="O52" s="70"/>
      <c r="P52" s="70"/>
      <c r="Q52" s="70"/>
      <c r="R52" s="70"/>
      <c r="S52" s="75"/>
      <c r="T52" s="75"/>
      <c r="U52" s="75"/>
      <c r="V52" s="75"/>
      <c r="W52" s="75"/>
      <c r="X52" s="75"/>
      <c r="Y52" s="75"/>
      <c r="Z52" s="75"/>
    </row>
    <row r="53" ht="16.5" customHeight="1">
      <c r="A53" s="53"/>
      <c r="B53" s="126" t="s">
        <v>74</v>
      </c>
      <c r="C53" s="63" t="s">
        <v>29</v>
      </c>
      <c r="D53" s="71">
        <v>628.0</v>
      </c>
      <c r="E53" s="132">
        <v>46598.0</v>
      </c>
      <c r="F53" s="63" t="s">
        <v>67</v>
      </c>
      <c r="G53" s="128"/>
      <c r="H53" s="96"/>
      <c r="I53" s="68"/>
      <c r="J53" s="70"/>
      <c r="K53" s="70"/>
      <c r="L53" s="70"/>
      <c r="M53" s="70"/>
      <c r="N53" s="70"/>
      <c r="O53" s="70"/>
      <c r="P53" s="70"/>
      <c r="Q53" s="70"/>
      <c r="R53" s="70"/>
      <c r="S53" s="75"/>
      <c r="T53" s="75"/>
      <c r="U53" s="75"/>
      <c r="V53" s="75"/>
      <c r="W53" s="75"/>
      <c r="X53" s="75"/>
      <c r="Y53" s="75"/>
      <c r="Z53" s="75"/>
    </row>
    <row r="54" ht="16.5" customHeight="1">
      <c r="A54" s="53"/>
      <c r="B54" s="55" t="s">
        <v>28</v>
      </c>
      <c r="C54" s="53" t="s">
        <v>29</v>
      </c>
      <c r="D54" s="57">
        <v>1320.0</v>
      </c>
      <c r="E54" s="61">
        <v>46630.0</v>
      </c>
      <c r="F54" s="53" t="s">
        <v>67</v>
      </c>
      <c r="G54" s="128"/>
      <c r="H54" s="96"/>
      <c r="I54" s="68"/>
      <c r="J54" s="70"/>
      <c r="K54" s="70"/>
      <c r="L54" s="70"/>
      <c r="M54" s="70"/>
      <c r="N54" s="70"/>
      <c r="O54" s="70"/>
      <c r="P54" s="70"/>
      <c r="Q54" s="70"/>
      <c r="R54" s="70"/>
      <c r="S54" s="75"/>
      <c r="T54" s="75"/>
      <c r="U54" s="75"/>
      <c r="V54" s="75"/>
      <c r="W54" s="75"/>
      <c r="X54" s="75"/>
      <c r="Y54" s="75"/>
      <c r="Z54" s="75"/>
    </row>
    <row r="55" ht="16.5" customHeight="1">
      <c r="A55" s="53"/>
      <c r="B55" s="126" t="s">
        <v>74</v>
      </c>
      <c r="C55" s="63" t="s">
        <v>29</v>
      </c>
      <c r="D55" s="71">
        <v>628.0</v>
      </c>
      <c r="E55" s="132">
        <v>46629.0</v>
      </c>
      <c r="F55" s="63" t="s">
        <v>67</v>
      </c>
      <c r="G55" s="128"/>
      <c r="H55" s="96"/>
      <c r="I55" s="68"/>
      <c r="J55" s="70"/>
      <c r="K55" s="70"/>
      <c r="L55" s="70"/>
      <c r="M55" s="70"/>
      <c r="N55" s="70"/>
      <c r="O55" s="70"/>
      <c r="P55" s="70"/>
      <c r="Q55" s="70"/>
      <c r="R55" s="70"/>
      <c r="S55" s="75"/>
      <c r="T55" s="75"/>
      <c r="U55" s="75"/>
      <c r="V55" s="75"/>
      <c r="W55" s="75"/>
      <c r="X55" s="75"/>
      <c r="Y55" s="75"/>
      <c r="Z55" s="75"/>
    </row>
    <row r="56" ht="16.5" customHeight="1">
      <c r="A56" s="53"/>
      <c r="B56" s="55" t="s">
        <v>28</v>
      </c>
      <c r="C56" s="53" t="s">
        <v>29</v>
      </c>
      <c r="D56" s="57">
        <v>1320.0</v>
      </c>
      <c r="E56" s="61">
        <v>46660.0</v>
      </c>
      <c r="F56" s="53" t="s">
        <v>67</v>
      </c>
      <c r="G56" s="128"/>
      <c r="H56" s="96"/>
      <c r="I56" s="68"/>
      <c r="J56" s="70"/>
      <c r="K56" s="70"/>
      <c r="L56" s="70"/>
      <c r="M56" s="70"/>
      <c r="N56" s="70"/>
      <c r="O56" s="70"/>
      <c r="P56" s="70"/>
      <c r="Q56" s="70"/>
      <c r="R56" s="70"/>
      <c r="S56" s="75"/>
      <c r="T56" s="75"/>
      <c r="U56" s="75"/>
      <c r="V56" s="75"/>
      <c r="W56" s="75"/>
      <c r="X56" s="75"/>
      <c r="Y56" s="75"/>
      <c r="Z56" s="75"/>
    </row>
    <row r="57" ht="16.5" customHeight="1">
      <c r="A57" s="53"/>
      <c r="B57" s="126" t="s">
        <v>74</v>
      </c>
      <c r="C57" s="63" t="s">
        <v>29</v>
      </c>
      <c r="D57" s="71">
        <v>628.0</v>
      </c>
      <c r="E57" s="132">
        <v>46660.0</v>
      </c>
      <c r="F57" s="63" t="s">
        <v>67</v>
      </c>
      <c r="G57" s="128"/>
      <c r="H57" s="96"/>
      <c r="I57" s="68"/>
      <c r="J57" s="70"/>
      <c r="K57" s="70"/>
      <c r="L57" s="70"/>
      <c r="M57" s="70"/>
      <c r="N57" s="70"/>
      <c r="O57" s="70"/>
      <c r="P57" s="70"/>
      <c r="Q57" s="70"/>
      <c r="R57" s="70"/>
      <c r="S57" s="75"/>
      <c r="T57" s="75"/>
      <c r="U57" s="75"/>
      <c r="V57" s="75"/>
      <c r="W57" s="75"/>
      <c r="X57" s="75"/>
      <c r="Y57" s="75"/>
      <c r="Z57" s="75"/>
    </row>
    <row r="58" ht="16.5" customHeight="1">
      <c r="A58" s="53"/>
      <c r="B58" s="55" t="s">
        <v>28</v>
      </c>
      <c r="C58" s="53" t="s">
        <v>29</v>
      </c>
      <c r="D58" s="57">
        <v>1320.0</v>
      </c>
      <c r="E58" s="61">
        <v>46691.0</v>
      </c>
      <c r="F58" s="53" t="s">
        <v>67</v>
      </c>
      <c r="G58" s="128"/>
      <c r="H58" s="96"/>
      <c r="I58" s="68"/>
      <c r="J58" s="70"/>
      <c r="K58" s="70"/>
      <c r="L58" s="70"/>
      <c r="M58" s="70"/>
      <c r="N58" s="70"/>
      <c r="O58" s="70"/>
      <c r="P58" s="70"/>
      <c r="Q58" s="70"/>
      <c r="R58" s="70"/>
      <c r="S58" s="75"/>
      <c r="T58" s="75"/>
      <c r="U58" s="75"/>
      <c r="V58" s="75"/>
      <c r="W58" s="75"/>
      <c r="X58" s="75"/>
      <c r="Y58" s="75"/>
      <c r="Z58" s="75"/>
    </row>
    <row r="59" ht="16.5" customHeight="1">
      <c r="A59" s="53"/>
      <c r="B59" s="126" t="s">
        <v>74</v>
      </c>
      <c r="C59" s="63" t="s">
        <v>29</v>
      </c>
      <c r="D59" s="71">
        <v>628.0</v>
      </c>
      <c r="E59" s="132">
        <v>46689.0</v>
      </c>
      <c r="F59" s="63" t="s">
        <v>67</v>
      </c>
      <c r="G59" s="128"/>
      <c r="H59" s="96"/>
      <c r="I59" s="68"/>
      <c r="J59" s="70"/>
      <c r="K59" s="70"/>
      <c r="L59" s="70"/>
      <c r="M59" s="70"/>
      <c r="N59" s="70"/>
      <c r="O59" s="70"/>
      <c r="P59" s="70"/>
      <c r="Q59" s="70"/>
      <c r="R59" s="70"/>
      <c r="S59" s="75"/>
      <c r="T59" s="75"/>
      <c r="U59" s="75"/>
      <c r="V59" s="75"/>
      <c r="W59" s="75"/>
      <c r="X59" s="75"/>
      <c r="Y59" s="75"/>
      <c r="Z59" s="75"/>
    </row>
    <row r="60" ht="16.5" customHeight="1">
      <c r="A60" s="53"/>
      <c r="B60" s="55" t="s">
        <v>28</v>
      </c>
      <c r="C60" s="53" t="s">
        <v>29</v>
      </c>
      <c r="D60" s="57">
        <v>1320.0</v>
      </c>
      <c r="E60" s="61">
        <v>46721.0</v>
      </c>
      <c r="F60" s="53" t="s">
        <v>67</v>
      </c>
      <c r="G60" s="128"/>
      <c r="H60" s="96"/>
      <c r="I60" s="68"/>
      <c r="J60" s="70"/>
      <c r="K60" s="70"/>
      <c r="L60" s="70"/>
      <c r="M60" s="70"/>
      <c r="N60" s="70"/>
      <c r="O60" s="70"/>
      <c r="P60" s="70"/>
      <c r="Q60" s="70"/>
      <c r="R60" s="70"/>
      <c r="S60" s="75"/>
      <c r="T60" s="75"/>
      <c r="U60" s="75"/>
      <c r="V60" s="75"/>
      <c r="W60" s="75"/>
      <c r="X60" s="75"/>
      <c r="Y60" s="75"/>
      <c r="Z60" s="75"/>
    </row>
    <row r="61" ht="16.5" customHeight="1">
      <c r="A61" s="53"/>
      <c r="B61" s="126" t="s">
        <v>74</v>
      </c>
      <c r="C61" s="63" t="s">
        <v>29</v>
      </c>
      <c r="D61" s="71">
        <v>628.0</v>
      </c>
      <c r="E61" s="132">
        <v>46356.0</v>
      </c>
      <c r="F61" s="63" t="s">
        <v>67</v>
      </c>
      <c r="G61" s="128"/>
      <c r="H61" s="96"/>
      <c r="I61" s="68"/>
      <c r="J61" s="70"/>
      <c r="K61" s="70"/>
      <c r="L61" s="70"/>
      <c r="M61" s="70"/>
      <c r="N61" s="70"/>
      <c r="O61" s="70"/>
      <c r="P61" s="70"/>
      <c r="Q61" s="70"/>
      <c r="R61" s="70"/>
      <c r="S61" s="75"/>
      <c r="T61" s="75"/>
      <c r="U61" s="75"/>
      <c r="V61" s="75"/>
      <c r="W61" s="75"/>
      <c r="X61" s="75"/>
      <c r="Y61" s="75"/>
      <c r="Z61" s="75"/>
    </row>
    <row r="62" ht="16.5" customHeight="1">
      <c r="A62" s="53"/>
      <c r="B62" s="55" t="s">
        <v>28</v>
      </c>
      <c r="C62" s="53" t="s">
        <v>29</v>
      </c>
      <c r="D62" s="57">
        <v>1320.0</v>
      </c>
      <c r="E62" s="61">
        <v>46752.0</v>
      </c>
      <c r="F62" s="53" t="s">
        <v>67</v>
      </c>
      <c r="G62" s="128"/>
      <c r="H62" s="96"/>
      <c r="I62" s="68"/>
      <c r="J62" s="70"/>
      <c r="K62" s="70"/>
      <c r="L62" s="70"/>
      <c r="M62" s="70"/>
      <c r="N62" s="70"/>
      <c r="O62" s="70"/>
      <c r="P62" s="70"/>
      <c r="Q62" s="70"/>
      <c r="R62" s="70"/>
      <c r="S62" s="75"/>
      <c r="T62" s="75"/>
      <c r="U62" s="75"/>
      <c r="V62" s="75"/>
      <c r="W62" s="75"/>
      <c r="X62" s="75"/>
      <c r="Y62" s="75"/>
      <c r="Z62" s="75"/>
    </row>
    <row r="63" ht="16.5" customHeight="1">
      <c r="A63" s="53"/>
      <c r="B63" s="126" t="s">
        <v>74</v>
      </c>
      <c r="C63" s="63" t="s">
        <v>29</v>
      </c>
      <c r="D63" s="71">
        <v>628.0</v>
      </c>
      <c r="E63" s="132">
        <v>46752.0</v>
      </c>
      <c r="F63" s="63" t="s">
        <v>67</v>
      </c>
      <c r="G63" s="128"/>
      <c r="H63" s="96"/>
      <c r="I63" s="68"/>
      <c r="J63" s="70"/>
      <c r="K63" s="70"/>
      <c r="L63" s="70"/>
      <c r="M63" s="70"/>
      <c r="N63" s="70"/>
      <c r="O63" s="70"/>
      <c r="P63" s="70"/>
      <c r="Q63" s="70"/>
      <c r="R63" s="70"/>
      <c r="S63" s="75"/>
      <c r="T63" s="75"/>
      <c r="U63" s="75"/>
      <c r="V63" s="75"/>
      <c r="W63" s="75"/>
      <c r="X63" s="75"/>
      <c r="Y63" s="75"/>
      <c r="Z63" s="75"/>
    </row>
    <row r="64" ht="16.5" customHeight="1">
      <c r="A64" s="159"/>
      <c r="B64" s="55" t="s">
        <v>28</v>
      </c>
      <c r="C64" s="53" t="s">
        <v>29</v>
      </c>
      <c r="D64" s="57">
        <v>1320.0</v>
      </c>
      <c r="E64" s="61">
        <v>46783.0</v>
      </c>
      <c r="F64" s="53" t="s">
        <v>67</v>
      </c>
      <c r="G64" s="160"/>
      <c r="H64" s="161"/>
      <c r="I64" s="68"/>
      <c r="J64" s="70"/>
      <c r="K64" s="70"/>
      <c r="L64" s="70"/>
      <c r="M64" s="70"/>
      <c r="N64" s="70"/>
      <c r="O64" s="70"/>
      <c r="P64" s="70"/>
      <c r="Q64" s="70"/>
      <c r="R64" s="70"/>
      <c r="S64" s="75"/>
      <c r="T64" s="75"/>
      <c r="U64" s="75"/>
      <c r="V64" s="75"/>
      <c r="W64" s="75"/>
      <c r="X64" s="75"/>
      <c r="Y64" s="75"/>
      <c r="Z64" s="75"/>
    </row>
    <row r="65" ht="16.5" customHeight="1">
      <c r="A65" s="53"/>
      <c r="B65" s="126" t="s">
        <v>74</v>
      </c>
      <c r="C65" s="63" t="s">
        <v>29</v>
      </c>
      <c r="D65" s="71">
        <v>628.0</v>
      </c>
      <c r="E65" s="132">
        <v>46783.0</v>
      </c>
      <c r="F65" s="63" t="s">
        <v>67</v>
      </c>
      <c r="G65" s="128"/>
      <c r="H65" s="96"/>
      <c r="I65" s="68"/>
      <c r="J65" s="70"/>
      <c r="K65" s="70"/>
      <c r="L65" s="70"/>
      <c r="M65" s="70"/>
      <c r="N65" s="70"/>
      <c r="O65" s="70"/>
      <c r="P65" s="70"/>
      <c r="Q65" s="70"/>
      <c r="R65" s="70"/>
      <c r="S65" s="75"/>
      <c r="T65" s="75"/>
      <c r="U65" s="75"/>
      <c r="V65" s="75"/>
      <c r="W65" s="75"/>
      <c r="X65" s="75"/>
      <c r="Y65" s="75"/>
      <c r="Z65" s="75"/>
    </row>
    <row r="66" ht="16.5" customHeight="1">
      <c r="A66" s="159"/>
      <c r="B66" s="55" t="s">
        <v>28</v>
      </c>
      <c r="C66" s="53" t="s">
        <v>29</v>
      </c>
      <c r="D66" s="57">
        <v>1320.0</v>
      </c>
      <c r="E66" s="61">
        <v>46812.0</v>
      </c>
      <c r="F66" s="53" t="s">
        <v>67</v>
      </c>
      <c r="G66" s="160"/>
      <c r="H66" s="161"/>
      <c r="I66" s="68"/>
      <c r="J66" s="70"/>
      <c r="K66" s="70"/>
      <c r="L66" s="70"/>
      <c r="M66" s="70"/>
      <c r="N66" s="70"/>
      <c r="O66" s="70"/>
      <c r="P66" s="70"/>
      <c r="Q66" s="70"/>
      <c r="R66" s="70"/>
      <c r="S66" s="75"/>
      <c r="T66" s="75"/>
      <c r="U66" s="75"/>
      <c r="V66" s="75"/>
      <c r="W66" s="75"/>
      <c r="X66" s="75"/>
      <c r="Y66" s="75"/>
      <c r="Z66" s="75"/>
    </row>
    <row r="67" ht="16.5" customHeight="1">
      <c r="A67" s="53"/>
      <c r="B67" s="126" t="s">
        <v>74</v>
      </c>
      <c r="C67" s="63" t="s">
        <v>29</v>
      </c>
      <c r="D67" s="71">
        <v>628.0</v>
      </c>
      <c r="E67" s="132">
        <v>46812.0</v>
      </c>
      <c r="F67" s="63" t="s">
        <v>67</v>
      </c>
      <c r="G67" s="128"/>
      <c r="H67" s="96"/>
      <c r="I67" s="68"/>
      <c r="J67" s="70"/>
      <c r="K67" s="70"/>
      <c r="L67" s="70"/>
      <c r="M67" s="70"/>
      <c r="N67" s="70"/>
      <c r="O67" s="70"/>
      <c r="P67" s="70"/>
      <c r="Q67" s="70"/>
      <c r="R67" s="70"/>
      <c r="S67" s="75"/>
      <c r="T67" s="75"/>
      <c r="U67" s="75"/>
      <c r="V67" s="75"/>
      <c r="W67" s="75"/>
      <c r="X67" s="75"/>
      <c r="Y67" s="75"/>
      <c r="Z67" s="75"/>
    </row>
    <row r="68" ht="16.5" customHeight="1">
      <c r="A68" s="159"/>
      <c r="B68" s="55" t="s">
        <v>28</v>
      </c>
      <c r="C68" s="53" t="s">
        <v>29</v>
      </c>
      <c r="D68" s="57">
        <v>1320.0</v>
      </c>
      <c r="E68" s="61">
        <v>46843.0</v>
      </c>
      <c r="F68" s="53" t="s">
        <v>67</v>
      </c>
      <c r="G68" s="160"/>
      <c r="H68" s="161"/>
      <c r="I68" s="68"/>
      <c r="J68" s="70"/>
      <c r="K68" s="70"/>
      <c r="L68" s="70"/>
      <c r="M68" s="70"/>
      <c r="N68" s="70"/>
      <c r="O68" s="70"/>
      <c r="P68" s="70"/>
      <c r="Q68" s="70"/>
      <c r="R68" s="70"/>
      <c r="S68" s="75"/>
      <c r="T68" s="75"/>
      <c r="U68" s="75"/>
      <c r="V68" s="75"/>
      <c r="W68" s="75"/>
      <c r="X68" s="75"/>
      <c r="Y68" s="75"/>
      <c r="Z68" s="75"/>
    </row>
    <row r="69" ht="16.5" customHeight="1">
      <c r="A69" s="53"/>
      <c r="B69" s="126" t="s">
        <v>74</v>
      </c>
      <c r="C69" s="63" t="s">
        <v>29</v>
      </c>
      <c r="D69" s="71">
        <v>628.0</v>
      </c>
      <c r="E69" s="132">
        <v>46843.0</v>
      </c>
      <c r="F69" s="63" t="s">
        <v>67</v>
      </c>
      <c r="G69" s="128"/>
      <c r="H69" s="96"/>
      <c r="I69" s="68"/>
      <c r="J69" s="70"/>
      <c r="K69" s="70"/>
      <c r="L69" s="70"/>
      <c r="M69" s="70"/>
      <c r="N69" s="70"/>
      <c r="O69" s="70"/>
      <c r="P69" s="70"/>
      <c r="Q69" s="70"/>
      <c r="R69" s="70"/>
      <c r="S69" s="75"/>
      <c r="T69" s="75"/>
      <c r="U69" s="75"/>
      <c r="V69" s="75"/>
      <c r="W69" s="75"/>
      <c r="X69" s="75"/>
      <c r="Y69" s="75"/>
      <c r="Z69" s="75"/>
    </row>
    <row r="70" ht="16.5" customHeight="1">
      <c r="A70" s="53"/>
      <c r="B70" s="126" t="s">
        <v>74</v>
      </c>
      <c r="C70" s="63" t="s">
        <v>29</v>
      </c>
      <c r="D70" s="71">
        <v>628.0</v>
      </c>
      <c r="E70" s="132">
        <v>46871.0</v>
      </c>
      <c r="F70" s="63" t="s">
        <v>67</v>
      </c>
      <c r="G70" s="128"/>
      <c r="H70" s="96"/>
      <c r="I70" s="68"/>
      <c r="J70" s="70"/>
      <c r="K70" s="70"/>
      <c r="L70" s="70"/>
      <c r="M70" s="70"/>
      <c r="N70" s="70"/>
      <c r="O70" s="70"/>
      <c r="P70" s="70"/>
      <c r="Q70" s="70"/>
      <c r="R70" s="70"/>
      <c r="S70" s="75"/>
      <c r="T70" s="75"/>
      <c r="U70" s="75"/>
      <c r="V70" s="75"/>
      <c r="W70" s="75"/>
      <c r="X70" s="75"/>
      <c r="Y70" s="75"/>
      <c r="Z70" s="75"/>
    </row>
    <row r="71" ht="16.5" customHeight="1">
      <c r="A71" s="53"/>
      <c r="B71" s="126" t="s">
        <v>74</v>
      </c>
      <c r="C71" s="63" t="s">
        <v>29</v>
      </c>
      <c r="D71" s="71">
        <v>628.0</v>
      </c>
      <c r="E71" s="132">
        <v>46904.0</v>
      </c>
      <c r="F71" s="63" t="s">
        <v>67</v>
      </c>
      <c r="G71" s="128"/>
      <c r="H71" s="96"/>
      <c r="I71" s="68"/>
      <c r="J71" s="70"/>
      <c r="K71" s="70"/>
      <c r="L71" s="70"/>
      <c r="M71" s="70"/>
      <c r="N71" s="70"/>
      <c r="O71" s="70"/>
      <c r="P71" s="70"/>
      <c r="Q71" s="70"/>
      <c r="R71" s="70"/>
      <c r="S71" s="75"/>
      <c r="T71" s="75"/>
      <c r="U71" s="75"/>
      <c r="V71" s="75"/>
      <c r="W71" s="75"/>
      <c r="X71" s="75"/>
      <c r="Y71" s="75"/>
      <c r="Z71" s="75"/>
    </row>
    <row r="72" ht="16.5" customHeight="1">
      <c r="A72" s="53"/>
      <c r="B72" s="126" t="s">
        <v>74</v>
      </c>
      <c r="C72" s="63" t="s">
        <v>29</v>
      </c>
      <c r="D72" s="71">
        <v>628.0</v>
      </c>
      <c r="E72" s="132">
        <v>46934.0</v>
      </c>
      <c r="F72" s="63" t="s">
        <v>67</v>
      </c>
      <c r="G72" s="128"/>
      <c r="H72" s="96"/>
      <c r="I72" s="68"/>
      <c r="J72" s="70"/>
      <c r="K72" s="70"/>
      <c r="L72" s="70"/>
      <c r="M72" s="70"/>
      <c r="N72" s="70"/>
      <c r="O72" s="70"/>
      <c r="P72" s="70"/>
      <c r="Q72" s="70"/>
      <c r="R72" s="70"/>
      <c r="S72" s="75"/>
      <c r="T72" s="75"/>
      <c r="U72" s="75"/>
      <c r="V72" s="75"/>
      <c r="W72" s="75"/>
      <c r="X72" s="75"/>
      <c r="Y72" s="75"/>
      <c r="Z72" s="75"/>
    </row>
    <row r="73" ht="16.5" customHeight="1">
      <c r="A73" s="53"/>
      <c r="B73" s="126" t="s">
        <v>74</v>
      </c>
      <c r="C73" s="63" t="s">
        <v>29</v>
      </c>
      <c r="D73" s="71">
        <v>628.0</v>
      </c>
      <c r="E73" s="132">
        <v>46965.0</v>
      </c>
      <c r="F73" s="63" t="s">
        <v>67</v>
      </c>
      <c r="G73" s="128"/>
      <c r="H73" s="96"/>
      <c r="I73" s="68"/>
      <c r="J73" s="70"/>
      <c r="K73" s="70"/>
      <c r="L73" s="70"/>
      <c r="M73" s="70"/>
      <c r="N73" s="70"/>
      <c r="O73" s="70"/>
      <c r="P73" s="70"/>
      <c r="Q73" s="70"/>
      <c r="R73" s="70"/>
      <c r="S73" s="75"/>
      <c r="T73" s="75"/>
      <c r="U73" s="75"/>
      <c r="V73" s="75"/>
      <c r="W73" s="75"/>
      <c r="X73" s="75"/>
      <c r="Y73" s="75"/>
      <c r="Z73" s="75"/>
    </row>
    <row r="74" ht="16.5" customHeight="1">
      <c r="A74" s="53"/>
      <c r="B74" s="126" t="s">
        <v>74</v>
      </c>
      <c r="C74" s="63" t="s">
        <v>29</v>
      </c>
      <c r="D74" s="71">
        <v>628.0</v>
      </c>
      <c r="E74" s="132">
        <v>46996.0</v>
      </c>
      <c r="F74" s="63" t="s">
        <v>67</v>
      </c>
      <c r="G74" s="128"/>
      <c r="H74" s="96"/>
      <c r="I74" s="68"/>
      <c r="J74" s="70"/>
      <c r="K74" s="70"/>
      <c r="L74" s="70"/>
      <c r="M74" s="70"/>
      <c r="N74" s="70"/>
      <c r="O74" s="70"/>
      <c r="P74" s="70"/>
      <c r="Q74" s="70"/>
      <c r="R74" s="70"/>
      <c r="S74" s="75"/>
      <c r="T74" s="75"/>
      <c r="U74" s="75"/>
      <c r="V74" s="75"/>
      <c r="W74" s="75"/>
      <c r="X74" s="75"/>
      <c r="Y74" s="75"/>
      <c r="Z74" s="75"/>
    </row>
    <row r="75" ht="16.5" customHeight="1">
      <c r="A75" s="53"/>
      <c r="B75" s="126" t="s">
        <v>74</v>
      </c>
      <c r="C75" s="63" t="s">
        <v>29</v>
      </c>
      <c r="D75" s="71">
        <v>628.0</v>
      </c>
      <c r="E75" s="132">
        <v>47025.0</v>
      </c>
      <c r="F75" s="63" t="s">
        <v>67</v>
      </c>
      <c r="G75" s="128"/>
      <c r="H75" s="96"/>
      <c r="I75" s="68"/>
      <c r="J75" s="70"/>
      <c r="K75" s="70"/>
      <c r="L75" s="70"/>
      <c r="M75" s="70"/>
      <c r="N75" s="70"/>
      <c r="O75" s="70"/>
      <c r="P75" s="70"/>
      <c r="Q75" s="70"/>
      <c r="R75" s="70"/>
      <c r="S75" s="75"/>
      <c r="T75" s="75"/>
      <c r="U75" s="75"/>
      <c r="V75" s="75"/>
      <c r="W75" s="75"/>
      <c r="X75" s="75"/>
      <c r="Y75" s="75"/>
      <c r="Z75" s="75"/>
    </row>
    <row r="76" ht="16.5" customHeight="1">
      <c r="A76" s="159"/>
      <c r="B76" s="126" t="s">
        <v>74</v>
      </c>
      <c r="C76" s="63" t="s">
        <v>29</v>
      </c>
      <c r="D76" s="71">
        <v>628.0</v>
      </c>
      <c r="E76" s="74">
        <v>47057.0</v>
      </c>
      <c r="F76" s="63" t="s">
        <v>67</v>
      </c>
      <c r="G76" s="160"/>
      <c r="H76" s="161"/>
      <c r="I76" s="68"/>
      <c r="J76" s="70"/>
      <c r="K76" s="70"/>
      <c r="L76" s="70"/>
      <c r="M76" s="70"/>
      <c r="N76" s="70"/>
      <c r="O76" s="70"/>
      <c r="P76" s="70"/>
      <c r="Q76" s="70"/>
      <c r="R76" s="70"/>
      <c r="S76" s="75"/>
      <c r="T76" s="75"/>
      <c r="U76" s="75"/>
      <c r="V76" s="75"/>
      <c r="W76" s="75"/>
      <c r="X76" s="75"/>
      <c r="Y76" s="75"/>
      <c r="Z76" s="75"/>
    </row>
    <row r="77" ht="16.5" customHeight="1">
      <c r="A77" s="159"/>
      <c r="B77" s="126" t="s">
        <v>74</v>
      </c>
      <c r="C77" s="63" t="s">
        <v>29</v>
      </c>
      <c r="D77" s="71">
        <v>628.0</v>
      </c>
      <c r="E77" s="74">
        <v>47087.0</v>
      </c>
      <c r="F77" s="63" t="s">
        <v>67</v>
      </c>
      <c r="G77" s="160"/>
      <c r="H77" s="161"/>
      <c r="I77" s="68"/>
      <c r="J77" s="70"/>
      <c r="K77" s="70"/>
      <c r="L77" s="70"/>
      <c r="M77" s="70"/>
      <c r="N77" s="70"/>
      <c r="O77" s="70"/>
      <c r="P77" s="70"/>
      <c r="Q77" s="70"/>
      <c r="R77" s="70"/>
      <c r="S77" s="75"/>
      <c r="T77" s="75"/>
      <c r="U77" s="75"/>
      <c r="V77" s="75"/>
      <c r="W77" s="75"/>
      <c r="X77" s="75"/>
      <c r="Y77" s="75"/>
      <c r="Z77" s="75"/>
    </row>
    <row r="78" ht="16.5" customHeight="1">
      <c r="A78" s="159"/>
      <c r="B78" s="126" t="s">
        <v>74</v>
      </c>
      <c r="C78" s="63" t="s">
        <v>29</v>
      </c>
      <c r="D78" s="71">
        <v>628.0</v>
      </c>
      <c r="E78" s="74">
        <v>47116.0</v>
      </c>
      <c r="F78" s="63" t="s">
        <v>67</v>
      </c>
      <c r="G78" s="160"/>
      <c r="H78" s="161"/>
      <c r="I78" s="68"/>
      <c r="J78" s="70"/>
      <c r="K78" s="70"/>
      <c r="L78" s="70"/>
      <c r="M78" s="70"/>
      <c r="N78" s="70"/>
      <c r="O78" s="70"/>
      <c r="P78" s="70"/>
      <c r="Q78" s="70"/>
      <c r="R78" s="70"/>
      <c r="S78" s="75"/>
      <c r="T78" s="75"/>
      <c r="U78" s="75"/>
      <c r="V78" s="75"/>
      <c r="W78" s="75"/>
      <c r="X78" s="75"/>
      <c r="Y78" s="75"/>
      <c r="Z78" s="75"/>
    </row>
    <row r="79" ht="16.5" customHeight="1">
      <c r="A79" s="159"/>
      <c r="B79" s="126" t="s">
        <v>74</v>
      </c>
      <c r="C79" s="63" t="s">
        <v>29</v>
      </c>
      <c r="D79" s="71">
        <v>628.0</v>
      </c>
      <c r="E79" s="74">
        <v>47149.0</v>
      </c>
      <c r="F79" s="63" t="s">
        <v>67</v>
      </c>
      <c r="G79" s="160"/>
      <c r="H79" s="161"/>
      <c r="I79" s="68"/>
      <c r="J79" s="70"/>
      <c r="K79" s="70"/>
      <c r="L79" s="70"/>
      <c r="M79" s="70"/>
      <c r="N79" s="70"/>
      <c r="O79" s="70"/>
      <c r="P79" s="70"/>
      <c r="Q79" s="70"/>
      <c r="R79" s="70"/>
      <c r="S79" s="75"/>
      <c r="T79" s="75"/>
      <c r="U79" s="75"/>
      <c r="V79" s="75"/>
      <c r="W79" s="75"/>
      <c r="X79" s="75"/>
      <c r="Y79" s="75"/>
      <c r="Z79" s="75"/>
    </row>
    <row r="80" ht="16.5" customHeight="1">
      <c r="A80" s="159"/>
      <c r="B80" s="126" t="s">
        <v>74</v>
      </c>
      <c r="C80" s="63" t="s">
        <v>29</v>
      </c>
      <c r="D80" s="71">
        <v>628.0</v>
      </c>
      <c r="E80" s="74">
        <v>47177.0</v>
      </c>
      <c r="F80" s="63" t="s">
        <v>67</v>
      </c>
      <c r="G80" s="160"/>
      <c r="H80" s="161"/>
      <c r="I80" s="68"/>
      <c r="J80" s="70"/>
      <c r="K80" s="70"/>
      <c r="L80" s="70"/>
      <c r="M80" s="70"/>
      <c r="N80" s="70"/>
      <c r="O80" s="70"/>
      <c r="P80" s="70"/>
      <c r="Q80" s="70"/>
      <c r="R80" s="70"/>
      <c r="S80" s="75"/>
      <c r="T80" s="75"/>
      <c r="U80" s="75"/>
      <c r="V80" s="75"/>
      <c r="W80" s="75"/>
      <c r="X80" s="75"/>
      <c r="Y80" s="75"/>
      <c r="Z80" s="75"/>
    </row>
    <row r="81" ht="16.5" customHeight="1">
      <c r="A81" s="159"/>
      <c r="B81" s="126" t="s">
        <v>74</v>
      </c>
      <c r="C81" s="63" t="s">
        <v>29</v>
      </c>
      <c r="D81" s="71">
        <v>628.0</v>
      </c>
      <c r="E81" s="74">
        <v>47205.0</v>
      </c>
      <c r="F81" s="63" t="s">
        <v>67</v>
      </c>
      <c r="G81" s="160"/>
      <c r="H81" s="161"/>
      <c r="I81" s="68"/>
      <c r="J81" s="70"/>
      <c r="K81" s="70"/>
      <c r="L81" s="70"/>
      <c r="M81" s="70"/>
      <c r="N81" s="70"/>
      <c r="O81" s="70"/>
      <c r="P81" s="70"/>
      <c r="Q81" s="70"/>
      <c r="R81" s="70"/>
      <c r="S81" s="75"/>
      <c r="T81" s="75"/>
      <c r="U81" s="75"/>
      <c r="V81" s="75"/>
      <c r="W81" s="75"/>
      <c r="X81" s="75"/>
      <c r="Y81" s="75"/>
      <c r="Z81" s="75"/>
    </row>
    <row r="82" ht="16.5" customHeight="1">
      <c r="A82" s="159"/>
      <c r="B82" s="126" t="s">
        <v>74</v>
      </c>
      <c r="C82" s="63" t="s">
        <v>29</v>
      </c>
      <c r="D82" s="71">
        <v>628.0</v>
      </c>
      <c r="E82" s="74">
        <v>47238.0</v>
      </c>
      <c r="F82" s="63" t="s">
        <v>67</v>
      </c>
      <c r="G82" s="160"/>
      <c r="H82" s="161"/>
      <c r="I82" s="68"/>
      <c r="J82" s="70"/>
      <c r="K82" s="70"/>
      <c r="L82" s="70"/>
      <c r="M82" s="70"/>
      <c r="N82" s="70"/>
      <c r="O82" s="70"/>
      <c r="P82" s="70"/>
      <c r="Q82" s="70"/>
      <c r="R82" s="70"/>
      <c r="S82" s="75"/>
      <c r="T82" s="75"/>
      <c r="U82" s="75"/>
      <c r="V82" s="75"/>
      <c r="W82" s="75"/>
      <c r="X82" s="75"/>
      <c r="Y82" s="75"/>
      <c r="Z82" s="75"/>
    </row>
    <row r="83" ht="16.5" customHeight="1">
      <c r="A83" s="159"/>
      <c r="B83" s="126" t="s">
        <v>74</v>
      </c>
      <c r="C83" s="63" t="s">
        <v>29</v>
      </c>
      <c r="D83" s="71">
        <v>628.0</v>
      </c>
      <c r="E83" s="74">
        <v>47269.0</v>
      </c>
      <c r="F83" s="63" t="s">
        <v>67</v>
      </c>
      <c r="G83" s="160"/>
      <c r="H83" s="161"/>
      <c r="I83" s="68"/>
      <c r="J83" s="70"/>
      <c r="K83" s="70"/>
      <c r="L83" s="70"/>
      <c r="M83" s="70"/>
      <c r="N83" s="70"/>
      <c r="O83" s="70"/>
      <c r="P83" s="70"/>
      <c r="Q83" s="70"/>
      <c r="R83" s="70"/>
      <c r="S83" s="75"/>
      <c r="T83" s="75"/>
      <c r="U83" s="75"/>
      <c r="V83" s="75"/>
      <c r="W83" s="75"/>
      <c r="X83" s="75"/>
      <c r="Y83" s="75"/>
      <c r="Z83" s="75"/>
    </row>
    <row r="84" ht="16.5" customHeight="1">
      <c r="A84" s="159"/>
      <c r="B84" s="126" t="s">
        <v>74</v>
      </c>
      <c r="C84" s="63" t="s">
        <v>29</v>
      </c>
      <c r="D84" s="71">
        <v>628.0</v>
      </c>
      <c r="E84" s="74">
        <v>47297.0</v>
      </c>
      <c r="F84" s="63" t="s">
        <v>67</v>
      </c>
      <c r="G84" s="160"/>
      <c r="H84" s="161"/>
      <c r="I84" s="68"/>
      <c r="J84" s="70"/>
      <c r="K84" s="70"/>
      <c r="L84" s="70"/>
      <c r="M84" s="70"/>
      <c r="N84" s="70"/>
      <c r="O84" s="70"/>
      <c r="P84" s="70"/>
      <c r="Q84" s="70"/>
      <c r="R84" s="70"/>
      <c r="S84" s="75"/>
      <c r="T84" s="75"/>
      <c r="U84" s="75"/>
      <c r="V84" s="75"/>
      <c r="W84" s="75"/>
      <c r="X84" s="75"/>
      <c r="Y84" s="75"/>
      <c r="Z84" s="75"/>
    </row>
    <row r="85" ht="16.5" customHeight="1">
      <c r="A85" s="159"/>
      <c r="B85" s="126" t="s">
        <v>74</v>
      </c>
      <c r="C85" s="63" t="s">
        <v>29</v>
      </c>
      <c r="D85" s="71">
        <v>628.0</v>
      </c>
      <c r="E85" s="74">
        <v>47330.0</v>
      </c>
      <c r="F85" s="63" t="s">
        <v>67</v>
      </c>
      <c r="G85" s="160"/>
      <c r="H85" s="161"/>
      <c r="I85" s="68"/>
      <c r="J85" s="70"/>
      <c r="K85" s="70"/>
      <c r="L85" s="70"/>
      <c r="M85" s="70"/>
      <c r="N85" s="70"/>
      <c r="O85" s="70"/>
      <c r="P85" s="70"/>
      <c r="Q85" s="70"/>
      <c r="R85" s="70"/>
      <c r="S85" s="75"/>
      <c r="T85" s="75"/>
      <c r="U85" s="75"/>
      <c r="V85" s="75"/>
      <c r="W85" s="75"/>
      <c r="X85" s="75"/>
      <c r="Y85" s="75"/>
      <c r="Z85" s="75"/>
    </row>
    <row r="86" ht="16.5" customHeight="1">
      <c r="A86" s="159"/>
      <c r="B86" s="126" t="s">
        <v>74</v>
      </c>
      <c r="C86" s="63" t="s">
        <v>29</v>
      </c>
      <c r="D86" s="71">
        <v>628.0</v>
      </c>
      <c r="E86" s="74">
        <v>47361.0</v>
      </c>
      <c r="F86" s="63" t="s">
        <v>67</v>
      </c>
      <c r="G86" s="160"/>
      <c r="H86" s="161"/>
      <c r="I86" s="68"/>
      <c r="J86" s="70"/>
      <c r="K86" s="70"/>
      <c r="L86" s="70"/>
      <c r="M86" s="70"/>
      <c r="N86" s="70"/>
      <c r="O86" s="70"/>
      <c r="P86" s="70"/>
      <c r="Q86" s="70"/>
      <c r="R86" s="70"/>
      <c r="S86" s="75"/>
      <c r="T86" s="75"/>
      <c r="U86" s="75"/>
      <c r="V86" s="75"/>
      <c r="W86" s="75"/>
      <c r="X86" s="75"/>
      <c r="Y86" s="75"/>
      <c r="Z86" s="75"/>
    </row>
    <row r="87" ht="16.5" customHeight="1">
      <c r="A87" s="159"/>
      <c r="B87" s="53"/>
      <c r="C87" s="53"/>
      <c r="D87" s="57"/>
      <c r="E87" s="93"/>
      <c r="F87" s="53"/>
      <c r="G87" s="160"/>
      <c r="H87" s="161"/>
      <c r="I87" s="68"/>
      <c r="J87" s="70"/>
      <c r="K87" s="70"/>
      <c r="L87" s="70"/>
      <c r="M87" s="70"/>
      <c r="N87" s="70"/>
      <c r="O87" s="70"/>
      <c r="P87" s="70"/>
      <c r="Q87" s="70"/>
      <c r="R87" s="70"/>
      <c r="S87" s="75"/>
      <c r="T87" s="75"/>
      <c r="U87" s="75"/>
      <c r="V87" s="75"/>
      <c r="W87" s="75"/>
      <c r="X87" s="75"/>
      <c r="Y87" s="75"/>
      <c r="Z87" s="75"/>
    </row>
    <row r="88" ht="16.5" customHeight="1">
      <c r="A88" s="159"/>
      <c r="B88" s="53"/>
      <c r="C88" s="53"/>
      <c r="D88" s="57"/>
      <c r="E88" s="93"/>
      <c r="F88" s="53"/>
      <c r="G88" s="160"/>
      <c r="H88" s="161"/>
      <c r="I88" s="68"/>
      <c r="J88" s="70"/>
      <c r="K88" s="70"/>
      <c r="L88" s="70"/>
      <c r="M88" s="70"/>
      <c r="N88" s="70"/>
      <c r="O88" s="70"/>
      <c r="P88" s="70"/>
      <c r="Q88" s="70"/>
      <c r="R88" s="70"/>
      <c r="S88" s="75"/>
      <c r="T88" s="75"/>
      <c r="U88" s="75"/>
      <c r="V88" s="75"/>
      <c r="W88" s="75"/>
      <c r="X88" s="75"/>
      <c r="Y88" s="75"/>
      <c r="Z88" s="75"/>
    </row>
    <row r="89" ht="16.5" customHeight="1">
      <c r="A89" s="159"/>
      <c r="B89" s="53"/>
      <c r="C89" s="53"/>
      <c r="D89" s="57"/>
      <c r="E89" s="93"/>
      <c r="F89" s="53"/>
      <c r="G89" s="160"/>
      <c r="H89" s="161"/>
      <c r="I89" s="68"/>
      <c r="J89" s="70"/>
      <c r="K89" s="70"/>
      <c r="L89" s="70"/>
      <c r="M89" s="70"/>
      <c r="N89" s="70"/>
      <c r="O89" s="70"/>
      <c r="P89" s="70"/>
      <c r="Q89" s="70"/>
      <c r="R89" s="70"/>
      <c r="S89" s="75"/>
      <c r="T89" s="75"/>
      <c r="U89" s="75"/>
      <c r="V89" s="75"/>
      <c r="W89" s="75"/>
      <c r="X89" s="75"/>
      <c r="Y89" s="75"/>
      <c r="Z89" s="75"/>
    </row>
    <row r="90" ht="16.5" customHeight="1">
      <c r="A90" s="159"/>
      <c r="B90" s="53"/>
      <c r="C90" s="53"/>
      <c r="D90" s="57"/>
      <c r="E90" s="93"/>
      <c r="F90" s="53"/>
      <c r="G90" s="160"/>
      <c r="H90" s="161"/>
      <c r="I90" s="68"/>
      <c r="J90" s="70"/>
      <c r="K90" s="70"/>
      <c r="L90" s="70"/>
      <c r="M90" s="70"/>
      <c r="N90" s="70"/>
      <c r="O90" s="70"/>
      <c r="P90" s="70"/>
      <c r="Q90" s="70"/>
      <c r="R90" s="70"/>
      <c r="S90" s="75"/>
      <c r="T90" s="75"/>
      <c r="U90" s="75"/>
      <c r="V90" s="75"/>
      <c r="W90" s="75"/>
      <c r="X90" s="75"/>
      <c r="Y90" s="75"/>
      <c r="Z90" s="75"/>
    </row>
    <row r="91" ht="16.5" customHeight="1">
      <c r="A91" s="122"/>
      <c r="B91" s="122"/>
      <c r="C91" s="122"/>
      <c r="D91" s="123"/>
      <c r="E91" s="121"/>
      <c r="F91" s="122"/>
      <c r="G91" s="162"/>
      <c r="H91" s="124"/>
      <c r="I91" s="68"/>
      <c r="J91" s="70"/>
      <c r="K91" s="70"/>
      <c r="L91" s="70"/>
      <c r="M91" s="70"/>
      <c r="N91" s="70"/>
      <c r="O91" s="70"/>
      <c r="P91" s="70"/>
      <c r="Q91" s="70"/>
      <c r="R91" s="70"/>
      <c r="S91" s="75"/>
      <c r="T91" s="75"/>
      <c r="U91" s="75"/>
      <c r="V91" s="75"/>
      <c r="W91" s="75"/>
      <c r="X91" s="75"/>
      <c r="Y91" s="75"/>
      <c r="Z91" s="75"/>
    </row>
    <row r="92" ht="15.75" customHeight="1">
      <c r="A92" s="101"/>
      <c r="B92" s="101"/>
      <c r="C92" s="101"/>
      <c r="D92" s="125"/>
      <c r="E92" s="101"/>
      <c r="F92" s="101"/>
      <c r="G92" s="163"/>
      <c r="H92" s="101"/>
      <c r="I92" s="68"/>
      <c r="J92" s="70"/>
      <c r="K92" s="70"/>
      <c r="L92" s="70"/>
      <c r="M92" s="70"/>
      <c r="N92" s="70"/>
      <c r="O92" s="70"/>
      <c r="P92" s="70"/>
      <c r="Q92" s="70"/>
      <c r="R92" s="70"/>
      <c r="S92" s="75"/>
      <c r="T92" s="75"/>
      <c r="U92" s="75"/>
      <c r="V92" s="75"/>
      <c r="W92" s="75"/>
      <c r="X92" s="75"/>
      <c r="Y92" s="75"/>
      <c r="Z92" s="75"/>
    </row>
    <row r="93" ht="15.75" customHeight="1">
      <c r="A93" s="101"/>
      <c r="B93" s="101"/>
      <c r="C93" s="101"/>
      <c r="D93" s="125"/>
      <c r="E93" s="101"/>
      <c r="F93" s="101"/>
      <c r="G93" s="163"/>
      <c r="H93" s="101"/>
      <c r="I93" s="68"/>
      <c r="J93" s="70"/>
      <c r="K93" s="70"/>
      <c r="L93" s="70"/>
      <c r="M93" s="70"/>
      <c r="N93" s="70"/>
      <c r="O93" s="70"/>
      <c r="P93" s="70"/>
      <c r="Q93" s="70"/>
      <c r="R93" s="70"/>
      <c r="S93" s="75"/>
      <c r="T93" s="75"/>
      <c r="U93" s="75"/>
      <c r="V93" s="75"/>
      <c r="W93" s="75"/>
      <c r="X93" s="75"/>
      <c r="Y93" s="75"/>
      <c r="Z93" s="75"/>
    </row>
    <row r="94" ht="15.75" customHeight="1">
      <c r="A94" s="101"/>
      <c r="B94" s="101"/>
      <c r="C94" s="101"/>
      <c r="D94" s="125"/>
      <c r="E94" s="101"/>
      <c r="F94" s="101"/>
      <c r="G94" s="163"/>
      <c r="H94" s="101"/>
      <c r="I94" s="68"/>
      <c r="J94" s="70"/>
      <c r="K94" s="70"/>
      <c r="L94" s="70"/>
      <c r="M94" s="70"/>
      <c r="N94" s="70"/>
      <c r="O94" s="70"/>
      <c r="P94" s="70"/>
      <c r="Q94" s="70"/>
      <c r="R94" s="70"/>
      <c r="S94" s="75"/>
      <c r="T94" s="75"/>
      <c r="U94" s="75"/>
      <c r="V94" s="75"/>
      <c r="W94" s="75"/>
      <c r="X94" s="75"/>
      <c r="Y94" s="75"/>
      <c r="Z94" s="75"/>
    </row>
    <row r="95" ht="15.75" customHeight="1">
      <c r="A95" s="101"/>
      <c r="B95" s="101"/>
      <c r="C95" s="101"/>
      <c r="D95" s="125"/>
      <c r="E95" s="101"/>
      <c r="F95" s="101"/>
      <c r="G95" s="163"/>
      <c r="H95" s="101"/>
      <c r="I95" s="68"/>
      <c r="J95" s="70"/>
      <c r="K95" s="70"/>
      <c r="L95" s="70"/>
      <c r="M95" s="70"/>
      <c r="N95" s="70"/>
      <c r="O95" s="70"/>
      <c r="P95" s="70"/>
      <c r="Q95" s="70"/>
      <c r="R95" s="70"/>
      <c r="S95" s="75"/>
      <c r="T95" s="75"/>
      <c r="U95" s="75"/>
      <c r="V95" s="75"/>
      <c r="W95" s="75"/>
      <c r="X95" s="75"/>
      <c r="Y95" s="75"/>
      <c r="Z95" s="75"/>
    </row>
    <row r="96" ht="15.75" customHeight="1">
      <c r="A96" s="101"/>
      <c r="B96" s="101"/>
      <c r="C96" s="101"/>
      <c r="D96" s="125"/>
      <c r="E96" s="101"/>
      <c r="F96" s="101"/>
      <c r="G96" s="163"/>
      <c r="H96" s="101"/>
      <c r="I96" s="68"/>
      <c r="J96" s="70"/>
      <c r="K96" s="70"/>
      <c r="L96" s="70"/>
      <c r="M96" s="70"/>
      <c r="N96" s="70"/>
      <c r="O96" s="70"/>
      <c r="P96" s="70"/>
      <c r="Q96" s="70"/>
      <c r="R96" s="70"/>
      <c r="S96" s="75"/>
      <c r="T96" s="75"/>
      <c r="U96" s="75"/>
      <c r="V96" s="75"/>
      <c r="W96" s="75"/>
      <c r="X96" s="75"/>
      <c r="Y96" s="75"/>
      <c r="Z96" s="75"/>
    </row>
    <row r="97" ht="15.75" customHeight="1">
      <c r="A97" s="101"/>
      <c r="B97" s="101"/>
      <c r="C97" s="101"/>
      <c r="D97" s="125"/>
      <c r="E97" s="101"/>
      <c r="F97" s="101"/>
      <c r="G97" s="163"/>
      <c r="H97" s="101"/>
      <c r="I97" s="68"/>
      <c r="J97" s="70"/>
      <c r="K97" s="70"/>
      <c r="L97" s="70"/>
      <c r="M97" s="70"/>
      <c r="N97" s="70"/>
      <c r="O97" s="70"/>
      <c r="P97" s="70"/>
      <c r="Q97" s="70"/>
      <c r="R97" s="70"/>
      <c r="S97" s="75"/>
      <c r="T97" s="75"/>
      <c r="U97" s="75"/>
      <c r="V97" s="75"/>
      <c r="W97" s="75"/>
      <c r="X97" s="75"/>
      <c r="Y97" s="75"/>
      <c r="Z97" s="75"/>
    </row>
    <row r="98" ht="15.75" customHeight="1">
      <c r="A98" s="101"/>
      <c r="B98" s="101"/>
      <c r="C98" s="101"/>
      <c r="D98" s="125"/>
      <c r="E98" s="101"/>
      <c r="F98" s="101"/>
      <c r="G98" s="163"/>
      <c r="H98" s="101"/>
      <c r="I98" s="68"/>
      <c r="J98" s="70"/>
      <c r="K98" s="70"/>
      <c r="L98" s="70"/>
      <c r="M98" s="70"/>
      <c r="N98" s="70"/>
      <c r="O98" s="70"/>
      <c r="P98" s="70"/>
      <c r="Q98" s="70"/>
      <c r="R98" s="70"/>
      <c r="S98" s="75"/>
      <c r="T98" s="75"/>
      <c r="U98" s="75"/>
      <c r="V98" s="75"/>
      <c r="W98" s="75"/>
      <c r="X98" s="75"/>
      <c r="Y98" s="75"/>
      <c r="Z98" s="75"/>
    </row>
    <row r="99" ht="15.75" customHeight="1">
      <c r="A99" s="101"/>
      <c r="B99" s="101"/>
      <c r="C99" s="101"/>
      <c r="D99" s="125"/>
      <c r="E99" s="101"/>
      <c r="F99" s="101"/>
      <c r="G99" s="163"/>
      <c r="H99" s="101"/>
      <c r="I99" s="68"/>
      <c r="J99" s="70"/>
      <c r="K99" s="70"/>
      <c r="L99" s="70"/>
      <c r="M99" s="70"/>
      <c r="N99" s="70"/>
      <c r="O99" s="70"/>
      <c r="P99" s="70"/>
      <c r="Q99" s="70"/>
      <c r="R99" s="70"/>
      <c r="S99" s="75"/>
      <c r="T99" s="75"/>
      <c r="U99" s="75"/>
      <c r="V99" s="75"/>
      <c r="W99" s="75"/>
      <c r="X99" s="75"/>
      <c r="Y99" s="75"/>
      <c r="Z99" s="75"/>
    </row>
    <row r="100" ht="15.75" customHeight="1">
      <c r="A100" s="101"/>
      <c r="B100" s="101"/>
      <c r="C100" s="101"/>
      <c r="D100" s="125"/>
      <c r="E100" s="101"/>
      <c r="F100" s="101"/>
      <c r="G100" s="163"/>
      <c r="H100" s="101"/>
      <c r="I100" s="68"/>
      <c r="J100" s="70"/>
      <c r="K100" s="70"/>
      <c r="L100" s="70"/>
      <c r="M100" s="70"/>
      <c r="N100" s="70"/>
      <c r="O100" s="70"/>
      <c r="P100" s="70"/>
      <c r="Q100" s="70"/>
      <c r="R100" s="70"/>
      <c r="S100" s="75"/>
      <c r="T100" s="75"/>
      <c r="U100" s="75"/>
      <c r="V100" s="75"/>
      <c r="W100" s="75"/>
      <c r="X100" s="75"/>
      <c r="Y100" s="75"/>
      <c r="Z100" s="75"/>
    </row>
    <row r="101" ht="15.75" customHeight="1">
      <c r="A101" s="101"/>
      <c r="B101" s="101"/>
      <c r="C101" s="101"/>
      <c r="D101" s="125"/>
      <c r="E101" s="101"/>
      <c r="F101" s="101"/>
      <c r="G101" s="163"/>
      <c r="H101" s="101"/>
      <c r="I101" s="68"/>
      <c r="J101" s="70"/>
      <c r="K101" s="70"/>
      <c r="L101" s="70"/>
      <c r="M101" s="70"/>
      <c r="N101" s="70"/>
      <c r="O101" s="70"/>
      <c r="P101" s="70"/>
      <c r="Q101" s="70"/>
      <c r="R101" s="70"/>
      <c r="S101" s="75"/>
      <c r="T101" s="75"/>
      <c r="U101" s="75"/>
      <c r="V101" s="75"/>
      <c r="W101" s="75"/>
      <c r="X101" s="75"/>
      <c r="Y101" s="75"/>
      <c r="Z101" s="75"/>
    </row>
    <row r="102" ht="15.75" customHeight="1">
      <c r="A102" s="101"/>
      <c r="B102" s="101"/>
      <c r="C102" s="101"/>
      <c r="D102" s="125"/>
      <c r="E102" s="101"/>
      <c r="F102" s="101"/>
      <c r="G102" s="163"/>
      <c r="H102" s="101"/>
      <c r="I102" s="68"/>
      <c r="J102" s="70"/>
      <c r="K102" s="70"/>
      <c r="L102" s="70"/>
      <c r="M102" s="70"/>
      <c r="N102" s="70"/>
      <c r="O102" s="70"/>
      <c r="P102" s="70"/>
      <c r="Q102" s="70"/>
      <c r="R102" s="70"/>
      <c r="S102" s="75"/>
      <c r="T102" s="75"/>
      <c r="U102" s="75"/>
      <c r="V102" s="75"/>
      <c r="W102" s="75"/>
      <c r="X102" s="75"/>
      <c r="Y102" s="75"/>
      <c r="Z102" s="75"/>
    </row>
    <row r="103" ht="15.75" customHeight="1">
      <c r="A103" s="101"/>
      <c r="B103" s="101"/>
      <c r="C103" s="101"/>
      <c r="D103" s="125"/>
      <c r="E103" s="101"/>
      <c r="F103" s="101"/>
      <c r="G103" s="163"/>
      <c r="H103" s="101"/>
      <c r="I103" s="68"/>
      <c r="J103" s="70"/>
      <c r="K103" s="70"/>
      <c r="L103" s="70"/>
      <c r="M103" s="70"/>
      <c r="N103" s="70"/>
      <c r="O103" s="70"/>
      <c r="P103" s="70"/>
      <c r="Q103" s="70"/>
      <c r="R103" s="70"/>
      <c r="S103" s="75"/>
      <c r="T103" s="75"/>
      <c r="U103" s="75"/>
      <c r="V103" s="75"/>
      <c r="W103" s="75"/>
      <c r="X103" s="75"/>
      <c r="Y103" s="75"/>
      <c r="Z103" s="75"/>
    </row>
    <row r="104" ht="15.75" customHeight="1">
      <c r="A104" s="101"/>
      <c r="B104" s="101"/>
      <c r="C104" s="101"/>
      <c r="D104" s="125"/>
      <c r="E104" s="101"/>
      <c r="F104" s="101"/>
      <c r="G104" s="163"/>
      <c r="H104" s="101"/>
      <c r="I104" s="68"/>
      <c r="J104" s="70"/>
      <c r="K104" s="70"/>
      <c r="L104" s="70"/>
      <c r="M104" s="70"/>
      <c r="N104" s="70"/>
      <c r="O104" s="70"/>
      <c r="P104" s="70"/>
      <c r="Q104" s="70"/>
      <c r="R104" s="70"/>
      <c r="S104" s="75"/>
      <c r="T104" s="75"/>
      <c r="U104" s="75"/>
      <c r="V104" s="75"/>
      <c r="W104" s="75"/>
      <c r="X104" s="75"/>
      <c r="Y104" s="75"/>
      <c r="Z104" s="75"/>
    </row>
    <row r="105" ht="15.75" customHeight="1">
      <c r="A105" s="101"/>
      <c r="B105" s="101"/>
      <c r="C105" s="101"/>
      <c r="D105" s="125"/>
      <c r="E105" s="101"/>
      <c r="F105" s="101"/>
      <c r="G105" s="163"/>
      <c r="H105" s="101"/>
      <c r="I105" s="68"/>
      <c r="J105" s="70"/>
      <c r="K105" s="70"/>
      <c r="L105" s="70"/>
      <c r="M105" s="70"/>
      <c r="N105" s="70"/>
      <c r="O105" s="70"/>
      <c r="P105" s="70"/>
      <c r="Q105" s="70"/>
      <c r="R105" s="70"/>
      <c r="S105" s="75"/>
      <c r="T105" s="75"/>
      <c r="U105" s="75"/>
      <c r="V105" s="75"/>
      <c r="W105" s="75"/>
      <c r="X105" s="75"/>
      <c r="Y105" s="75"/>
      <c r="Z105" s="75"/>
    </row>
    <row r="106" ht="15.75" customHeight="1">
      <c r="A106" s="101"/>
      <c r="B106" s="101"/>
      <c r="C106" s="101"/>
      <c r="D106" s="125"/>
      <c r="E106" s="101"/>
      <c r="F106" s="101"/>
      <c r="G106" s="163"/>
      <c r="H106" s="101"/>
      <c r="I106" s="68"/>
      <c r="J106" s="70"/>
      <c r="K106" s="70"/>
      <c r="L106" s="70"/>
      <c r="M106" s="70"/>
      <c r="N106" s="70"/>
      <c r="O106" s="70"/>
      <c r="P106" s="70"/>
      <c r="Q106" s="70"/>
      <c r="R106" s="70"/>
      <c r="S106" s="75"/>
      <c r="T106" s="75"/>
      <c r="U106" s="75"/>
      <c r="V106" s="75"/>
      <c r="W106" s="75"/>
      <c r="X106" s="75"/>
      <c r="Y106" s="75"/>
      <c r="Z106" s="75"/>
    </row>
    <row r="107" ht="15.75" customHeight="1">
      <c r="A107" s="101"/>
      <c r="B107" s="101"/>
      <c r="C107" s="101"/>
      <c r="D107" s="125"/>
      <c r="E107" s="101"/>
      <c r="F107" s="101"/>
      <c r="G107" s="163"/>
      <c r="H107" s="101"/>
      <c r="I107" s="68"/>
      <c r="J107" s="70"/>
      <c r="K107" s="70"/>
      <c r="L107" s="70"/>
      <c r="M107" s="70"/>
      <c r="N107" s="70"/>
      <c r="O107" s="70"/>
      <c r="P107" s="70"/>
      <c r="Q107" s="70"/>
      <c r="R107" s="70"/>
      <c r="S107" s="75"/>
      <c r="T107" s="75"/>
      <c r="U107" s="75"/>
      <c r="V107" s="75"/>
      <c r="W107" s="75"/>
      <c r="X107" s="75"/>
      <c r="Y107" s="75"/>
      <c r="Z107" s="75"/>
    </row>
    <row r="108" ht="15.75" customHeight="1">
      <c r="A108" s="101"/>
      <c r="B108" s="101"/>
      <c r="C108" s="101"/>
      <c r="D108" s="125"/>
      <c r="E108" s="101"/>
      <c r="F108" s="101"/>
      <c r="G108" s="163"/>
      <c r="H108" s="101"/>
      <c r="I108" s="68"/>
      <c r="J108" s="70"/>
      <c r="K108" s="70"/>
      <c r="L108" s="70"/>
      <c r="M108" s="70"/>
      <c r="N108" s="70"/>
      <c r="O108" s="70"/>
      <c r="P108" s="70"/>
      <c r="Q108" s="70"/>
      <c r="R108" s="70"/>
      <c r="S108" s="75"/>
      <c r="T108" s="75"/>
      <c r="U108" s="75"/>
      <c r="V108" s="75"/>
      <c r="W108" s="75"/>
      <c r="X108" s="75"/>
      <c r="Y108" s="75"/>
      <c r="Z108" s="75"/>
    </row>
    <row r="109" ht="15.75" customHeight="1">
      <c r="A109" s="101"/>
      <c r="B109" s="101"/>
      <c r="C109" s="101"/>
      <c r="D109" s="125"/>
      <c r="E109" s="101"/>
      <c r="F109" s="101"/>
      <c r="G109" s="163"/>
      <c r="H109" s="101"/>
      <c r="I109" s="68"/>
      <c r="J109" s="70"/>
      <c r="K109" s="70"/>
      <c r="L109" s="70"/>
      <c r="M109" s="70"/>
      <c r="N109" s="70"/>
      <c r="O109" s="70"/>
      <c r="P109" s="70"/>
      <c r="Q109" s="70"/>
      <c r="R109" s="70"/>
      <c r="S109" s="75"/>
      <c r="T109" s="75"/>
      <c r="U109" s="75"/>
      <c r="V109" s="75"/>
      <c r="W109" s="75"/>
      <c r="X109" s="75"/>
      <c r="Y109" s="75"/>
      <c r="Z109" s="75"/>
    </row>
    <row r="110" ht="15.75" customHeight="1">
      <c r="A110" s="101"/>
      <c r="B110" s="101"/>
      <c r="C110" s="101"/>
      <c r="D110" s="125"/>
      <c r="E110" s="101"/>
      <c r="F110" s="101"/>
      <c r="G110" s="163"/>
      <c r="H110" s="101"/>
      <c r="I110" s="68"/>
      <c r="J110" s="70"/>
      <c r="K110" s="70"/>
      <c r="L110" s="70"/>
      <c r="M110" s="70"/>
      <c r="N110" s="70"/>
      <c r="O110" s="70"/>
      <c r="P110" s="70"/>
      <c r="Q110" s="70"/>
      <c r="R110" s="70"/>
      <c r="S110" s="75"/>
      <c r="T110" s="75"/>
      <c r="U110" s="75"/>
      <c r="V110" s="75"/>
      <c r="W110" s="75"/>
      <c r="X110" s="75"/>
      <c r="Y110" s="75"/>
      <c r="Z110" s="75"/>
    </row>
    <row r="111" ht="15.75" customHeight="1">
      <c r="A111" s="101"/>
      <c r="B111" s="101"/>
      <c r="C111" s="101"/>
      <c r="D111" s="125"/>
      <c r="E111" s="101"/>
      <c r="F111" s="101"/>
      <c r="G111" s="163"/>
      <c r="H111" s="101"/>
      <c r="I111" s="68"/>
      <c r="J111" s="70"/>
      <c r="K111" s="70"/>
      <c r="L111" s="70"/>
      <c r="M111" s="70"/>
      <c r="N111" s="70"/>
      <c r="O111" s="70"/>
      <c r="P111" s="70"/>
      <c r="Q111" s="70"/>
      <c r="R111" s="70"/>
      <c r="S111" s="75"/>
      <c r="T111" s="75"/>
      <c r="U111" s="75"/>
      <c r="V111" s="75"/>
      <c r="W111" s="75"/>
      <c r="X111" s="75"/>
      <c r="Y111" s="75"/>
      <c r="Z111" s="75"/>
    </row>
    <row r="112" ht="15.75" customHeight="1">
      <c r="A112" s="101"/>
      <c r="B112" s="101"/>
      <c r="C112" s="101"/>
      <c r="D112" s="125"/>
      <c r="E112" s="101"/>
      <c r="F112" s="101"/>
      <c r="G112" s="163"/>
      <c r="H112" s="101"/>
      <c r="I112" s="68"/>
      <c r="J112" s="70"/>
      <c r="K112" s="70"/>
      <c r="L112" s="70"/>
      <c r="M112" s="70"/>
      <c r="N112" s="70"/>
      <c r="O112" s="70"/>
      <c r="P112" s="70"/>
      <c r="Q112" s="70"/>
      <c r="R112" s="70"/>
      <c r="S112" s="75"/>
      <c r="T112" s="75"/>
      <c r="U112" s="75"/>
      <c r="V112" s="75"/>
      <c r="W112" s="75"/>
      <c r="X112" s="75"/>
      <c r="Y112" s="75"/>
      <c r="Z112" s="75"/>
    </row>
    <row r="113" ht="15.75" customHeight="1">
      <c r="A113" s="101"/>
      <c r="B113" s="101"/>
      <c r="C113" s="101"/>
      <c r="D113" s="125"/>
      <c r="E113" s="101"/>
      <c r="F113" s="101"/>
      <c r="G113" s="163"/>
      <c r="H113" s="101"/>
      <c r="I113" s="68"/>
      <c r="J113" s="70"/>
      <c r="K113" s="70"/>
      <c r="L113" s="70"/>
      <c r="M113" s="70"/>
      <c r="N113" s="70"/>
      <c r="O113" s="70"/>
      <c r="P113" s="70"/>
      <c r="Q113" s="70"/>
      <c r="R113" s="70"/>
      <c r="S113" s="75"/>
      <c r="T113" s="75"/>
      <c r="U113" s="75"/>
      <c r="V113" s="75"/>
      <c r="W113" s="75"/>
      <c r="X113" s="75"/>
      <c r="Y113" s="75"/>
      <c r="Z113" s="75"/>
    </row>
    <row r="114" ht="15.75" customHeight="1">
      <c r="A114" s="101"/>
      <c r="B114" s="101"/>
      <c r="C114" s="101"/>
      <c r="D114" s="125"/>
      <c r="E114" s="101"/>
      <c r="F114" s="101"/>
      <c r="G114" s="163"/>
      <c r="H114" s="101"/>
      <c r="I114" s="68"/>
      <c r="J114" s="70"/>
      <c r="K114" s="70"/>
      <c r="L114" s="70"/>
      <c r="M114" s="70"/>
      <c r="N114" s="70"/>
      <c r="O114" s="70"/>
      <c r="P114" s="70"/>
      <c r="Q114" s="70"/>
      <c r="R114" s="70"/>
      <c r="S114" s="75"/>
      <c r="T114" s="75"/>
      <c r="U114" s="75"/>
      <c r="V114" s="75"/>
      <c r="W114" s="75"/>
      <c r="X114" s="75"/>
      <c r="Y114" s="75"/>
      <c r="Z114" s="75"/>
    </row>
    <row r="115" ht="15.75" customHeight="1">
      <c r="A115" s="10"/>
      <c r="B115" s="10"/>
      <c r="C115" s="10"/>
      <c r="D115" s="133"/>
      <c r="E115" s="10"/>
      <c r="F115" s="10"/>
      <c r="G115" s="10"/>
      <c r="H115" s="10"/>
      <c r="I115" s="7"/>
      <c r="J115" s="50"/>
      <c r="K115" s="50"/>
      <c r="L115" s="50"/>
      <c r="M115" s="50"/>
      <c r="N115" s="50"/>
      <c r="O115" s="50"/>
      <c r="P115" s="50"/>
      <c r="Q115" s="50"/>
      <c r="R115" s="50"/>
    </row>
    <row r="116" ht="15.75" customHeight="1">
      <c r="A116" s="10"/>
      <c r="B116" s="10"/>
      <c r="C116" s="10"/>
      <c r="D116" s="133"/>
      <c r="E116" s="10"/>
      <c r="F116" s="10"/>
      <c r="G116" s="10"/>
      <c r="H116" s="10"/>
      <c r="I116" s="7"/>
      <c r="J116" s="50"/>
      <c r="K116" s="50"/>
      <c r="L116" s="50"/>
      <c r="M116" s="50"/>
      <c r="N116" s="50"/>
      <c r="O116" s="50"/>
      <c r="P116" s="50"/>
      <c r="Q116" s="50"/>
      <c r="R116" s="50"/>
    </row>
    <row r="117" ht="15.75" customHeight="1">
      <c r="A117" s="10"/>
      <c r="B117" s="10"/>
      <c r="C117" s="10"/>
      <c r="D117" s="133"/>
      <c r="E117" s="10"/>
      <c r="F117" s="10"/>
      <c r="G117" s="10"/>
      <c r="H117" s="10"/>
      <c r="I117" s="7"/>
      <c r="J117" s="50"/>
      <c r="K117" s="50"/>
      <c r="L117" s="50"/>
      <c r="M117" s="50"/>
      <c r="N117" s="50"/>
      <c r="O117" s="50"/>
      <c r="P117" s="50"/>
      <c r="Q117" s="50"/>
      <c r="R117" s="50"/>
    </row>
    <row r="118" ht="15.75" customHeight="1">
      <c r="A118" s="10"/>
      <c r="B118" s="10"/>
      <c r="C118" s="10"/>
      <c r="D118" s="133"/>
      <c r="E118" s="10"/>
      <c r="F118" s="10"/>
      <c r="G118" s="10"/>
      <c r="H118" s="10"/>
      <c r="I118" s="7"/>
      <c r="J118" s="50"/>
      <c r="K118" s="50"/>
      <c r="L118" s="50"/>
      <c r="M118" s="50"/>
      <c r="N118" s="50"/>
      <c r="O118" s="50"/>
      <c r="P118" s="50"/>
      <c r="Q118" s="50"/>
      <c r="R118" s="50"/>
    </row>
    <row r="119" ht="15.75" customHeight="1">
      <c r="A119" s="10"/>
      <c r="B119" s="10"/>
      <c r="C119" s="10"/>
      <c r="D119" s="133"/>
      <c r="E119" s="10"/>
      <c r="F119" s="10"/>
      <c r="G119" s="10"/>
      <c r="H119" s="10"/>
      <c r="I119" s="7"/>
      <c r="J119" s="50"/>
      <c r="K119" s="50"/>
      <c r="L119" s="50"/>
      <c r="M119" s="50"/>
      <c r="N119" s="50"/>
      <c r="O119" s="50"/>
      <c r="P119" s="50"/>
      <c r="Q119" s="50"/>
      <c r="R119" s="50"/>
    </row>
    <row r="120" ht="15.75" customHeight="1">
      <c r="A120" s="141"/>
      <c r="B120" s="141"/>
      <c r="C120" s="141"/>
      <c r="D120" s="142"/>
      <c r="E120" s="141"/>
      <c r="F120" s="141"/>
      <c r="G120" s="50"/>
      <c r="H120" s="50"/>
      <c r="I120" s="7"/>
      <c r="J120" s="50"/>
      <c r="K120" s="50"/>
      <c r="L120" s="50"/>
      <c r="M120" s="50"/>
      <c r="N120" s="50"/>
      <c r="O120" s="50"/>
      <c r="P120" s="50"/>
      <c r="Q120" s="50"/>
      <c r="R120" s="50"/>
    </row>
    <row r="121" ht="15.75" customHeight="1">
      <c r="A121" s="141"/>
      <c r="B121" s="141"/>
      <c r="C121" s="141"/>
      <c r="D121" s="142"/>
      <c r="E121" s="141"/>
      <c r="F121" s="141"/>
      <c r="G121" s="50"/>
      <c r="H121" s="50"/>
      <c r="I121" s="7"/>
      <c r="J121" s="50"/>
      <c r="K121" s="50"/>
      <c r="L121" s="50"/>
      <c r="M121" s="50"/>
      <c r="N121" s="50"/>
      <c r="O121" s="50"/>
      <c r="P121" s="50"/>
      <c r="Q121" s="50"/>
      <c r="R121" s="50"/>
    </row>
    <row r="122" ht="15.75" customHeight="1">
      <c r="A122" s="141"/>
      <c r="B122" s="141"/>
      <c r="C122" s="141"/>
      <c r="D122" s="142"/>
      <c r="E122" s="141"/>
      <c r="F122" s="141"/>
      <c r="G122" s="50"/>
      <c r="H122" s="50"/>
      <c r="I122" s="7"/>
      <c r="J122" s="50"/>
      <c r="K122" s="50"/>
      <c r="L122" s="50"/>
      <c r="M122" s="50"/>
      <c r="N122" s="50"/>
      <c r="O122" s="50"/>
      <c r="P122" s="50"/>
      <c r="Q122" s="50"/>
      <c r="R122" s="50"/>
    </row>
    <row r="123" ht="15.75" customHeight="1">
      <c r="A123" s="141"/>
      <c r="B123" s="141"/>
      <c r="C123" s="141"/>
      <c r="D123" s="142"/>
      <c r="E123" s="141"/>
      <c r="F123" s="141"/>
      <c r="G123" s="50"/>
      <c r="H123" s="50"/>
      <c r="I123" s="7"/>
      <c r="J123" s="50"/>
      <c r="K123" s="50"/>
      <c r="L123" s="50"/>
      <c r="M123" s="50"/>
      <c r="N123" s="50"/>
      <c r="O123" s="50"/>
      <c r="P123" s="50"/>
      <c r="Q123" s="50"/>
      <c r="R123" s="50"/>
    </row>
    <row r="124" ht="15.75" customHeight="1">
      <c r="A124" s="141"/>
      <c r="B124" s="141"/>
      <c r="C124" s="141"/>
      <c r="D124" s="142"/>
      <c r="E124" s="141"/>
      <c r="F124" s="141"/>
      <c r="G124" s="50"/>
      <c r="H124" s="50"/>
      <c r="I124" s="7"/>
      <c r="J124" s="50"/>
      <c r="K124" s="50"/>
      <c r="L124" s="50"/>
      <c r="M124" s="50"/>
      <c r="N124" s="50"/>
      <c r="O124" s="50"/>
      <c r="P124" s="50"/>
      <c r="Q124" s="50"/>
      <c r="R124" s="50"/>
    </row>
    <row r="125" ht="15.75" customHeight="1">
      <c r="A125" s="141"/>
      <c r="B125" s="141"/>
      <c r="C125" s="141"/>
      <c r="D125" s="142"/>
      <c r="E125" s="141"/>
      <c r="F125" s="141"/>
      <c r="G125" s="50"/>
      <c r="H125" s="50"/>
      <c r="I125" s="7"/>
      <c r="J125" s="50"/>
      <c r="K125" s="50"/>
      <c r="L125" s="50"/>
      <c r="M125" s="50"/>
      <c r="N125" s="50"/>
      <c r="O125" s="50"/>
      <c r="P125" s="50"/>
      <c r="Q125" s="50"/>
      <c r="R125" s="50"/>
    </row>
    <row r="126" ht="15.75" customHeight="1">
      <c r="A126" s="141"/>
      <c r="B126" s="141"/>
      <c r="C126" s="141"/>
      <c r="D126" s="142"/>
      <c r="E126" s="141"/>
      <c r="F126" s="141"/>
      <c r="G126" s="50"/>
      <c r="H126" s="50"/>
      <c r="I126" s="7"/>
      <c r="J126" s="50"/>
      <c r="K126" s="50"/>
      <c r="L126" s="50"/>
      <c r="M126" s="50"/>
      <c r="N126" s="50"/>
      <c r="O126" s="50"/>
      <c r="P126" s="50"/>
      <c r="Q126" s="50"/>
      <c r="R126" s="50"/>
    </row>
    <row r="127" ht="15.75" customHeight="1">
      <c r="A127" s="141"/>
      <c r="B127" s="141"/>
      <c r="C127" s="141"/>
      <c r="D127" s="142"/>
      <c r="E127" s="141"/>
      <c r="F127" s="141"/>
      <c r="G127" s="50"/>
      <c r="H127" s="50"/>
      <c r="I127" s="7"/>
      <c r="J127" s="50"/>
      <c r="K127" s="50"/>
      <c r="L127" s="50"/>
      <c r="M127" s="50"/>
      <c r="N127" s="50"/>
      <c r="O127" s="50"/>
      <c r="P127" s="50"/>
      <c r="Q127" s="50"/>
      <c r="R127" s="50"/>
    </row>
    <row r="128" ht="15.75" customHeight="1">
      <c r="A128" s="141"/>
      <c r="B128" s="141"/>
      <c r="C128" s="141"/>
      <c r="D128" s="142"/>
      <c r="E128" s="141"/>
      <c r="F128" s="141"/>
      <c r="G128" s="50"/>
      <c r="H128" s="50"/>
      <c r="I128" s="7"/>
      <c r="J128" s="50"/>
      <c r="K128" s="50"/>
      <c r="L128" s="50"/>
      <c r="M128" s="50"/>
      <c r="N128" s="50"/>
      <c r="O128" s="50"/>
      <c r="P128" s="50"/>
      <c r="Q128" s="50"/>
      <c r="R128" s="50"/>
    </row>
    <row r="129" ht="15.75" customHeight="1">
      <c r="A129" s="141"/>
      <c r="B129" s="141"/>
      <c r="C129" s="141"/>
      <c r="D129" s="142"/>
      <c r="E129" s="141"/>
      <c r="F129" s="141"/>
      <c r="G129" s="50"/>
      <c r="H129" s="50"/>
      <c r="I129" s="7"/>
      <c r="J129" s="50"/>
      <c r="K129" s="50"/>
      <c r="L129" s="50"/>
      <c r="M129" s="50"/>
      <c r="N129" s="50"/>
      <c r="O129" s="50"/>
      <c r="P129" s="50"/>
      <c r="Q129" s="50"/>
      <c r="R129" s="50"/>
    </row>
    <row r="130" ht="15.75" customHeight="1">
      <c r="A130" s="141"/>
      <c r="B130" s="141"/>
      <c r="C130" s="141"/>
      <c r="D130" s="142"/>
      <c r="E130" s="141"/>
      <c r="F130" s="141"/>
      <c r="G130" s="50"/>
      <c r="H130" s="50"/>
      <c r="I130" s="7"/>
      <c r="J130" s="50"/>
      <c r="K130" s="50"/>
      <c r="L130" s="50"/>
      <c r="M130" s="50"/>
      <c r="N130" s="50"/>
      <c r="O130" s="50"/>
      <c r="P130" s="50"/>
      <c r="Q130" s="50"/>
      <c r="R130" s="50"/>
    </row>
    <row r="131" ht="15.75" customHeight="1">
      <c r="A131" s="141"/>
      <c r="B131" s="141"/>
      <c r="C131" s="141"/>
      <c r="D131" s="142"/>
      <c r="E131" s="141"/>
      <c r="F131" s="141"/>
      <c r="G131" s="50"/>
      <c r="H131" s="50"/>
      <c r="I131" s="7"/>
      <c r="J131" s="50"/>
      <c r="K131" s="50"/>
      <c r="L131" s="50"/>
      <c r="M131" s="50"/>
      <c r="N131" s="50"/>
      <c r="O131" s="50"/>
      <c r="P131" s="50"/>
      <c r="Q131" s="50"/>
      <c r="R131" s="50"/>
    </row>
    <row r="132" ht="15.75" customHeight="1">
      <c r="A132" s="141"/>
      <c r="B132" s="141"/>
      <c r="C132" s="141"/>
      <c r="D132" s="142"/>
      <c r="E132" s="141"/>
      <c r="F132" s="141"/>
      <c r="G132" s="50"/>
      <c r="H132" s="50"/>
      <c r="I132" s="7"/>
      <c r="J132" s="50"/>
      <c r="K132" s="50"/>
      <c r="L132" s="50"/>
      <c r="M132" s="50"/>
      <c r="N132" s="50"/>
      <c r="O132" s="50"/>
      <c r="P132" s="50"/>
      <c r="Q132" s="50"/>
      <c r="R132" s="50"/>
    </row>
    <row r="133" ht="15.75" customHeight="1">
      <c r="A133" s="141"/>
      <c r="B133" s="141"/>
      <c r="C133" s="141"/>
      <c r="D133" s="142"/>
      <c r="E133" s="141"/>
      <c r="F133" s="141"/>
      <c r="G133" s="50"/>
      <c r="H133" s="50"/>
      <c r="I133" s="7"/>
      <c r="J133" s="50"/>
      <c r="K133" s="50"/>
      <c r="L133" s="50"/>
      <c r="M133" s="50"/>
      <c r="N133" s="50"/>
      <c r="O133" s="50"/>
      <c r="P133" s="50"/>
      <c r="Q133" s="50"/>
      <c r="R133" s="50"/>
    </row>
    <row r="134" ht="15.75" customHeight="1">
      <c r="A134" s="141"/>
      <c r="B134" s="141"/>
      <c r="C134" s="141"/>
      <c r="D134" s="142"/>
      <c r="E134" s="141"/>
      <c r="F134" s="141"/>
      <c r="G134" s="50"/>
      <c r="H134" s="50"/>
      <c r="I134" s="7"/>
      <c r="J134" s="50"/>
      <c r="K134" s="50"/>
      <c r="L134" s="50"/>
      <c r="M134" s="50"/>
      <c r="N134" s="50"/>
      <c r="O134" s="50"/>
      <c r="P134" s="50"/>
      <c r="Q134" s="50"/>
      <c r="R134" s="50"/>
    </row>
    <row r="135" ht="15.75" customHeight="1">
      <c r="A135" s="141"/>
      <c r="B135" s="141"/>
      <c r="C135" s="141"/>
      <c r="D135" s="142"/>
      <c r="E135" s="141"/>
      <c r="F135" s="141"/>
      <c r="G135" s="50"/>
      <c r="H135" s="50"/>
      <c r="I135" s="7"/>
      <c r="J135" s="50"/>
      <c r="K135" s="50"/>
      <c r="L135" s="50"/>
      <c r="M135" s="50"/>
      <c r="N135" s="50"/>
      <c r="O135" s="50"/>
      <c r="P135" s="50"/>
      <c r="Q135" s="50"/>
      <c r="R135" s="50"/>
    </row>
    <row r="136" ht="15.75" customHeight="1">
      <c r="A136" s="141"/>
      <c r="B136" s="141"/>
      <c r="C136" s="141"/>
      <c r="D136" s="142"/>
      <c r="E136" s="141"/>
      <c r="F136" s="141"/>
      <c r="G136" s="50"/>
      <c r="H136" s="50"/>
      <c r="I136" s="7"/>
      <c r="J136" s="50"/>
      <c r="K136" s="50"/>
      <c r="L136" s="50"/>
      <c r="M136" s="50"/>
      <c r="N136" s="50"/>
      <c r="O136" s="50"/>
      <c r="P136" s="50"/>
      <c r="Q136" s="50"/>
      <c r="R136" s="50"/>
    </row>
    <row r="137" ht="15.75" customHeight="1">
      <c r="A137" s="141"/>
      <c r="B137" s="141"/>
      <c r="C137" s="141"/>
      <c r="D137" s="142"/>
      <c r="E137" s="141"/>
      <c r="F137" s="141"/>
      <c r="G137" s="50"/>
      <c r="H137" s="50"/>
      <c r="I137" s="7"/>
      <c r="J137" s="50"/>
      <c r="K137" s="50"/>
      <c r="L137" s="50"/>
      <c r="M137" s="50"/>
      <c r="N137" s="50"/>
      <c r="O137" s="50"/>
      <c r="P137" s="50"/>
      <c r="Q137" s="50"/>
      <c r="R137" s="50"/>
    </row>
    <row r="138" ht="15.75" customHeight="1">
      <c r="A138" s="141"/>
      <c r="B138" s="141"/>
      <c r="C138" s="141"/>
      <c r="D138" s="142"/>
      <c r="E138" s="141"/>
      <c r="F138" s="141"/>
      <c r="G138" s="50"/>
      <c r="H138" s="50"/>
      <c r="I138" s="7"/>
      <c r="J138" s="50"/>
      <c r="K138" s="50"/>
      <c r="L138" s="50"/>
      <c r="M138" s="50"/>
      <c r="N138" s="50"/>
      <c r="O138" s="50"/>
      <c r="P138" s="50"/>
      <c r="Q138" s="50"/>
      <c r="R138" s="50"/>
    </row>
    <row r="139" ht="15.75" customHeight="1">
      <c r="A139" s="141"/>
      <c r="B139" s="141"/>
      <c r="C139" s="141"/>
      <c r="D139" s="142"/>
      <c r="E139" s="141"/>
      <c r="F139" s="141"/>
      <c r="G139" s="50"/>
      <c r="H139" s="50"/>
      <c r="I139" s="7"/>
      <c r="J139" s="50"/>
      <c r="K139" s="50"/>
      <c r="L139" s="50"/>
      <c r="M139" s="50"/>
      <c r="N139" s="50"/>
      <c r="O139" s="50"/>
      <c r="P139" s="50"/>
      <c r="Q139" s="50"/>
      <c r="R139" s="50"/>
    </row>
    <row r="140" ht="15.75" customHeight="1">
      <c r="A140" s="141"/>
      <c r="B140" s="141"/>
      <c r="C140" s="141"/>
      <c r="D140" s="142"/>
      <c r="E140" s="141"/>
      <c r="F140" s="141"/>
      <c r="G140" s="50"/>
      <c r="H140" s="50"/>
      <c r="I140" s="7"/>
      <c r="J140" s="50"/>
      <c r="K140" s="50"/>
      <c r="L140" s="50"/>
      <c r="M140" s="50"/>
      <c r="N140" s="50"/>
      <c r="O140" s="50"/>
      <c r="P140" s="50"/>
      <c r="Q140" s="50"/>
      <c r="R140" s="50"/>
    </row>
    <row r="141" ht="15.75" customHeight="1">
      <c r="A141" s="141"/>
      <c r="B141" s="141"/>
      <c r="C141" s="141"/>
      <c r="D141" s="142"/>
      <c r="E141" s="141"/>
      <c r="F141" s="141"/>
      <c r="G141" s="50"/>
      <c r="H141" s="50"/>
      <c r="I141" s="7"/>
      <c r="J141" s="50"/>
      <c r="K141" s="50"/>
      <c r="L141" s="50"/>
      <c r="M141" s="50"/>
      <c r="N141" s="50"/>
      <c r="O141" s="50"/>
      <c r="P141" s="50"/>
      <c r="Q141" s="50"/>
      <c r="R141" s="50"/>
    </row>
    <row r="142" ht="15.75" customHeight="1">
      <c r="A142" s="141"/>
      <c r="B142" s="141"/>
      <c r="C142" s="141"/>
      <c r="D142" s="142"/>
      <c r="E142" s="141"/>
      <c r="F142" s="141"/>
      <c r="G142" s="50"/>
      <c r="H142" s="50"/>
      <c r="I142" s="7"/>
      <c r="J142" s="50"/>
      <c r="K142" s="50"/>
      <c r="L142" s="50"/>
      <c r="M142" s="50"/>
      <c r="N142" s="50"/>
      <c r="O142" s="50"/>
      <c r="P142" s="50"/>
      <c r="Q142" s="50"/>
      <c r="R142" s="50"/>
    </row>
    <row r="143" ht="15.75" customHeight="1">
      <c r="A143" s="141"/>
      <c r="B143" s="141"/>
      <c r="C143" s="141"/>
      <c r="D143" s="142"/>
      <c r="E143" s="141"/>
      <c r="F143" s="141"/>
      <c r="G143" s="50"/>
      <c r="H143" s="50"/>
      <c r="I143" s="7"/>
      <c r="J143" s="50"/>
      <c r="K143" s="50"/>
      <c r="L143" s="50"/>
      <c r="M143" s="50"/>
      <c r="N143" s="50"/>
      <c r="O143" s="50"/>
      <c r="P143" s="50"/>
      <c r="Q143" s="50"/>
      <c r="R143" s="50"/>
    </row>
    <row r="144" ht="15.75" customHeight="1">
      <c r="A144" s="141"/>
      <c r="B144" s="141"/>
      <c r="C144" s="141"/>
      <c r="D144" s="142"/>
      <c r="E144" s="141"/>
      <c r="F144" s="141"/>
      <c r="G144" s="50"/>
      <c r="H144" s="50"/>
      <c r="I144" s="7"/>
      <c r="J144" s="50"/>
      <c r="K144" s="50"/>
      <c r="L144" s="50"/>
      <c r="M144" s="50"/>
      <c r="N144" s="50"/>
      <c r="O144" s="50"/>
      <c r="P144" s="50"/>
      <c r="Q144" s="50"/>
      <c r="R144" s="50"/>
    </row>
    <row r="145" ht="15.75" customHeight="1">
      <c r="A145" s="141"/>
      <c r="B145" s="141"/>
      <c r="C145" s="141"/>
      <c r="D145" s="142"/>
      <c r="E145" s="141"/>
      <c r="F145" s="141"/>
      <c r="G145" s="50"/>
      <c r="H145" s="50"/>
      <c r="I145" s="7"/>
      <c r="J145" s="50"/>
      <c r="K145" s="50"/>
      <c r="L145" s="50"/>
      <c r="M145" s="50"/>
      <c r="N145" s="50"/>
      <c r="O145" s="50"/>
      <c r="P145" s="50"/>
      <c r="Q145" s="50"/>
      <c r="R145" s="50"/>
    </row>
    <row r="146" ht="15.75" customHeight="1">
      <c r="A146" s="141"/>
      <c r="B146" s="141"/>
      <c r="C146" s="141"/>
      <c r="D146" s="142"/>
      <c r="E146" s="141"/>
      <c r="F146" s="141"/>
      <c r="G146" s="50"/>
      <c r="H146" s="50"/>
      <c r="I146" s="7"/>
      <c r="J146" s="50"/>
      <c r="K146" s="50"/>
      <c r="L146" s="50"/>
      <c r="M146" s="50"/>
      <c r="N146" s="50"/>
      <c r="O146" s="50"/>
      <c r="P146" s="50"/>
      <c r="Q146" s="50"/>
      <c r="R146" s="50"/>
    </row>
    <row r="147" ht="15.75" customHeight="1">
      <c r="A147" s="141"/>
      <c r="B147" s="141"/>
      <c r="C147" s="141"/>
      <c r="D147" s="142"/>
      <c r="E147" s="141"/>
      <c r="F147" s="141"/>
      <c r="G147" s="50"/>
      <c r="H147" s="50"/>
      <c r="I147" s="7"/>
      <c r="J147" s="50"/>
      <c r="K147" s="50"/>
      <c r="L147" s="50"/>
      <c r="M147" s="50"/>
      <c r="N147" s="50"/>
      <c r="O147" s="50"/>
      <c r="P147" s="50"/>
      <c r="Q147" s="50"/>
      <c r="R147" s="50"/>
    </row>
    <row r="148" ht="15.75" customHeight="1">
      <c r="A148" s="141"/>
      <c r="B148" s="141"/>
      <c r="C148" s="141"/>
      <c r="D148" s="142"/>
      <c r="E148" s="141"/>
      <c r="F148" s="141"/>
      <c r="G148" s="50"/>
      <c r="H148" s="50"/>
      <c r="I148" s="7"/>
      <c r="J148" s="50"/>
      <c r="K148" s="50"/>
      <c r="L148" s="50"/>
      <c r="M148" s="50"/>
      <c r="N148" s="50"/>
      <c r="O148" s="50"/>
      <c r="P148" s="50"/>
      <c r="Q148" s="50"/>
      <c r="R148" s="50"/>
    </row>
    <row r="149" ht="15.75" customHeight="1">
      <c r="A149" s="141"/>
      <c r="B149" s="141"/>
      <c r="C149" s="141"/>
      <c r="D149" s="142"/>
      <c r="E149" s="141"/>
      <c r="F149" s="141"/>
      <c r="G149" s="50"/>
      <c r="H149" s="50"/>
      <c r="I149" s="7"/>
      <c r="J149" s="50"/>
      <c r="K149" s="50"/>
      <c r="L149" s="50"/>
      <c r="M149" s="50"/>
      <c r="N149" s="50"/>
      <c r="O149" s="50"/>
      <c r="P149" s="50"/>
      <c r="Q149" s="50"/>
      <c r="R149" s="50"/>
    </row>
    <row r="150" ht="15.75" customHeight="1">
      <c r="A150" s="141"/>
      <c r="B150" s="141"/>
      <c r="C150" s="141"/>
      <c r="D150" s="142"/>
      <c r="E150" s="141"/>
      <c r="F150" s="141"/>
      <c r="G150" s="50"/>
      <c r="H150" s="50"/>
      <c r="I150" s="7"/>
      <c r="J150" s="50"/>
      <c r="K150" s="50"/>
      <c r="L150" s="50"/>
      <c r="M150" s="50"/>
      <c r="N150" s="50"/>
      <c r="O150" s="50"/>
      <c r="P150" s="50"/>
      <c r="Q150" s="50"/>
      <c r="R150" s="50"/>
    </row>
    <row r="151" ht="15.75" customHeight="1">
      <c r="A151" s="141"/>
      <c r="B151" s="141"/>
      <c r="C151" s="141"/>
      <c r="D151" s="142"/>
      <c r="E151" s="141"/>
      <c r="F151" s="141"/>
      <c r="G151" s="50"/>
      <c r="H151" s="50"/>
      <c r="I151" s="7"/>
      <c r="J151" s="50"/>
      <c r="K151" s="50"/>
      <c r="L151" s="50"/>
      <c r="M151" s="50"/>
      <c r="N151" s="50"/>
      <c r="O151" s="50"/>
      <c r="P151" s="50"/>
      <c r="Q151" s="50"/>
      <c r="R151" s="50"/>
    </row>
    <row r="152" ht="15.75" customHeight="1">
      <c r="A152" s="141"/>
      <c r="B152" s="141"/>
      <c r="C152" s="141"/>
      <c r="D152" s="142"/>
      <c r="E152" s="141"/>
      <c r="F152" s="141"/>
      <c r="G152" s="50"/>
      <c r="H152" s="50"/>
      <c r="I152" s="7"/>
      <c r="J152" s="50"/>
      <c r="K152" s="50"/>
      <c r="L152" s="50"/>
      <c r="M152" s="50"/>
      <c r="N152" s="50"/>
      <c r="O152" s="50"/>
      <c r="P152" s="50"/>
      <c r="Q152" s="50"/>
      <c r="R152" s="50"/>
    </row>
    <row r="153" ht="15.75" customHeight="1">
      <c r="A153" s="141"/>
      <c r="B153" s="141"/>
      <c r="C153" s="141"/>
      <c r="D153" s="142"/>
      <c r="E153" s="141"/>
      <c r="F153" s="141"/>
      <c r="G153" s="50"/>
      <c r="H153" s="50"/>
      <c r="I153" s="7"/>
      <c r="J153" s="50"/>
      <c r="K153" s="50"/>
      <c r="L153" s="50"/>
      <c r="M153" s="50"/>
      <c r="N153" s="50"/>
      <c r="O153" s="50"/>
      <c r="P153" s="50"/>
      <c r="Q153" s="50"/>
      <c r="R153" s="50"/>
    </row>
    <row r="154" ht="15.75" customHeight="1">
      <c r="A154" s="141"/>
      <c r="B154" s="141"/>
      <c r="C154" s="141"/>
      <c r="D154" s="142"/>
      <c r="E154" s="141"/>
      <c r="F154" s="141"/>
      <c r="G154" s="50"/>
      <c r="H154" s="50"/>
      <c r="I154" s="7"/>
      <c r="J154" s="50"/>
      <c r="K154" s="50"/>
      <c r="L154" s="50"/>
      <c r="M154" s="50"/>
      <c r="N154" s="50"/>
      <c r="O154" s="50"/>
      <c r="P154" s="50"/>
      <c r="Q154" s="50"/>
      <c r="R154" s="50"/>
    </row>
    <row r="155" ht="15.75" customHeight="1">
      <c r="A155" s="141"/>
      <c r="B155" s="141"/>
      <c r="C155" s="141"/>
      <c r="D155" s="142"/>
      <c r="E155" s="141"/>
      <c r="F155" s="141"/>
      <c r="G155" s="50"/>
      <c r="H155" s="50"/>
      <c r="I155" s="7"/>
      <c r="J155" s="50"/>
      <c r="K155" s="50"/>
      <c r="L155" s="50"/>
      <c r="M155" s="50"/>
      <c r="N155" s="50"/>
      <c r="O155" s="50"/>
      <c r="P155" s="50"/>
      <c r="Q155" s="50"/>
      <c r="R155" s="50"/>
    </row>
    <row r="156" ht="15.75" customHeight="1">
      <c r="A156" s="141"/>
      <c r="B156" s="141"/>
      <c r="C156" s="141"/>
      <c r="D156" s="142"/>
      <c r="E156" s="141"/>
      <c r="F156" s="141"/>
      <c r="G156" s="50"/>
      <c r="H156" s="50"/>
      <c r="I156" s="7"/>
      <c r="J156" s="50"/>
      <c r="K156" s="50"/>
      <c r="L156" s="50"/>
      <c r="M156" s="50"/>
      <c r="N156" s="50"/>
      <c r="O156" s="50"/>
      <c r="P156" s="50"/>
      <c r="Q156" s="50"/>
      <c r="R156" s="50"/>
    </row>
    <row r="157" ht="15.75" customHeight="1">
      <c r="A157" s="141"/>
      <c r="B157" s="141"/>
      <c r="C157" s="141"/>
      <c r="D157" s="142"/>
      <c r="E157" s="141"/>
      <c r="F157" s="141"/>
      <c r="G157" s="50"/>
      <c r="H157" s="50"/>
      <c r="I157" s="7"/>
      <c r="J157" s="50"/>
      <c r="K157" s="50"/>
      <c r="L157" s="50"/>
      <c r="M157" s="50"/>
      <c r="N157" s="50"/>
      <c r="O157" s="50"/>
      <c r="P157" s="50"/>
      <c r="Q157" s="50"/>
      <c r="R157" s="50"/>
    </row>
    <row r="158" ht="15.75" customHeight="1">
      <c r="A158" s="141"/>
      <c r="B158" s="141"/>
      <c r="C158" s="141"/>
      <c r="D158" s="142"/>
      <c r="E158" s="141"/>
      <c r="F158" s="141"/>
      <c r="G158" s="50"/>
      <c r="H158" s="50"/>
      <c r="I158" s="7"/>
      <c r="J158" s="50"/>
      <c r="K158" s="50"/>
      <c r="L158" s="50"/>
      <c r="M158" s="50"/>
      <c r="N158" s="50"/>
      <c r="O158" s="50"/>
      <c r="P158" s="50"/>
      <c r="Q158" s="50"/>
      <c r="R158" s="50"/>
    </row>
    <row r="159" ht="15.75" customHeight="1">
      <c r="A159" s="141"/>
      <c r="B159" s="141"/>
      <c r="C159" s="141"/>
      <c r="D159" s="142"/>
      <c r="E159" s="141"/>
      <c r="F159" s="141"/>
      <c r="G159" s="50"/>
      <c r="H159" s="50"/>
      <c r="I159" s="7"/>
      <c r="J159" s="50"/>
      <c r="K159" s="50"/>
      <c r="L159" s="50"/>
      <c r="M159" s="50"/>
      <c r="N159" s="50"/>
      <c r="O159" s="50"/>
      <c r="P159" s="50"/>
      <c r="Q159" s="50"/>
      <c r="R159" s="50"/>
    </row>
    <row r="160" ht="15.75" customHeight="1">
      <c r="A160" s="141"/>
      <c r="B160" s="141"/>
      <c r="C160" s="141"/>
      <c r="D160" s="142"/>
      <c r="E160" s="141"/>
      <c r="F160" s="141"/>
      <c r="G160" s="50"/>
      <c r="H160" s="50"/>
      <c r="I160" s="7"/>
      <c r="J160" s="50"/>
      <c r="K160" s="50"/>
      <c r="L160" s="50"/>
      <c r="M160" s="50"/>
      <c r="N160" s="50"/>
      <c r="O160" s="50"/>
      <c r="P160" s="50"/>
      <c r="Q160" s="50"/>
      <c r="R160" s="50"/>
    </row>
    <row r="161" ht="15.75" customHeight="1">
      <c r="A161" s="141"/>
      <c r="B161" s="141"/>
      <c r="C161" s="141"/>
      <c r="D161" s="142"/>
      <c r="E161" s="141"/>
      <c r="F161" s="141"/>
      <c r="G161" s="50"/>
      <c r="H161" s="50"/>
      <c r="I161" s="7"/>
      <c r="J161" s="50"/>
      <c r="K161" s="50"/>
      <c r="L161" s="50"/>
      <c r="M161" s="50"/>
      <c r="N161" s="50"/>
      <c r="O161" s="50"/>
      <c r="P161" s="50"/>
      <c r="Q161" s="50"/>
      <c r="R161" s="50"/>
    </row>
    <row r="162" ht="15.75" customHeight="1">
      <c r="A162" s="141"/>
      <c r="B162" s="141"/>
      <c r="C162" s="141"/>
      <c r="D162" s="142"/>
      <c r="E162" s="141"/>
      <c r="F162" s="141"/>
      <c r="G162" s="50"/>
      <c r="H162" s="50"/>
      <c r="I162" s="7"/>
      <c r="J162" s="50"/>
      <c r="K162" s="50"/>
      <c r="L162" s="50"/>
      <c r="M162" s="50"/>
      <c r="N162" s="50"/>
      <c r="O162" s="50"/>
      <c r="P162" s="50"/>
      <c r="Q162" s="50"/>
      <c r="R162" s="50"/>
    </row>
    <row r="163" ht="15.75" customHeight="1">
      <c r="A163" s="141"/>
      <c r="B163" s="141"/>
      <c r="C163" s="141"/>
      <c r="D163" s="142"/>
      <c r="E163" s="141"/>
      <c r="F163" s="141"/>
      <c r="G163" s="50"/>
      <c r="H163" s="50"/>
      <c r="I163" s="7"/>
      <c r="J163" s="50"/>
      <c r="K163" s="50"/>
      <c r="L163" s="50"/>
      <c r="M163" s="50"/>
      <c r="N163" s="50"/>
      <c r="O163" s="50"/>
      <c r="P163" s="50"/>
      <c r="Q163" s="50"/>
      <c r="R163" s="50"/>
    </row>
    <row r="164" ht="15.75" customHeight="1">
      <c r="A164" s="141"/>
      <c r="B164" s="141"/>
      <c r="C164" s="141"/>
      <c r="D164" s="142"/>
      <c r="E164" s="141"/>
      <c r="F164" s="141"/>
      <c r="G164" s="50"/>
      <c r="H164" s="50"/>
      <c r="I164" s="7"/>
      <c r="J164" s="50"/>
      <c r="K164" s="50"/>
      <c r="L164" s="50"/>
      <c r="M164" s="50"/>
      <c r="N164" s="50"/>
      <c r="O164" s="50"/>
      <c r="P164" s="50"/>
      <c r="Q164" s="50"/>
      <c r="R164" s="50"/>
    </row>
    <row r="165" ht="15.75" customHeight="1">
      <c r="A165" s="141"/>
      <c r="B165" s="141"/>
      <c r="C165" s="141"/>
      <c r="D165" s="142"/>
      <c r="E165" s="141"/>
      <c r="F165" s="141"/>
      <c r="G165" s="50"/>
      <c r="H165" s="50"/>
      <c r="I165" s="7"/>
      <c r="J165" s="50"/>
      <c r="K165" s="50"/>
      <c r="L165" s="50"/>
      <c r="M165" s="50"/>
      <c r="N165" s="50"/>
      <c r="O165" s="50"/>
      <c r="P165" s="50"/>
      <c r="Q165" s="50"/>
      <c r="R165" s="50"/>
    </row>
    <row r="166" ht="15.75" customHeight="1">
      <c r="A166" s="141"/>
      <c r="B166" s="141"/>
      <c r="C166" s="141"/>
      <c r="D166" s="142"/>
      <c r="E166" s="141"/>
      <c r="F166" s="141"/>
      <c r="G166" s="50"/>
      <c r="H166" s="50"/>
      <c r="I166" s="7"/>
      <c r="J166" s="50"/>
      <c r="K166" s="50"/>
      <c r="L166" s="50"/>
      <c r="M166" s="50"/>
      <c r="N166" s="50"/>
      <c r="O166" s="50"/>
      <c r="P166" s="50"/>
      <c r="Q166" s="50"/>
      <c r="R166" s="50"/>
    </row>
    <row r="167" ht="15.75" customHeight="1">
      <c r="A167" s="141"/>
      <c r="B167" s="141"/>
      <c r="C167" s="141"/>
      <c r="D167" s="142"/>
      <c r="E167" s="141"/>
      <c r="F167" s="141"/>
      <c r="G167" s="50"/>
      <c r="H167" s="50"/>
      <c r="I167" s="7"/>
      <c r="J167" s="50"/>
      <c r="K167" s="50"/>
      <c r="L167" s="50"/>
      <c r="M167" s="50"/>
      <c r="N167" s="50"/>
      <c r="O167" s="50"/>
      <c r="P167" s="50"/>
      <c r="Q167" s="50"/>
      <c r="R167" s="50"/>
    </row>
    <row r="168" ht="15.75" customHeight="1">
      <c r="A168" s="141"/>
      <c r="B168" s="141"/>
      <c r="C168" s="141"/>
      <c r="D168" s="142"/>
      <c r="E168" s="141"/>
      <c r="F168" s="141"/>
      <c r="G168" s="50"/>
      <c r="H168" s="50"/>
      <c r="I168" s="7"/>
      <c r="J168" s="50"/>
      <c r="K168" s="50"/>
      <c r="L168" s="50"/>
      <c r="M168" s="50"/>
      <c r="N168" s="50"/>
      <c r="O168" s="50"/>
      <c r="P168" s="50"/>
      <c r="Q168" s="50"/>
      <c r="R168" s="50"/>
    </row>
    <row r="169" ht="15.75" customHeight="1">
      <c r="A169" s="141"/>
      <c r="B169" s="141"/>
      <c r="C169" s="141"/>
      <c r="D169" s="142"/>
      <c r="E169" s="141"/>
      <c r="F169" s="141"/>
      <c r="G169" s="50"/>
      <c r="H169" s="50"/>
      <c r="I169" s="7"/>
      <c r="J169" s="50"/>
      <c r="K169" s="50"/>
      <c r="L169" s="50"/>
      <c r="M169" s="50"/>
      <c r="N169" s="50"/>
      <c r="O169" s="50"/>
      <c r="P169" s="50"/>
      <c r="Q169" s="50"/>
      <c r="R169" s="50"/>
    </row>
    <row r="170" ht="15.75" customHeight="1">
      <c r="A170" s="141"/>
      <c r="B170" s="141"/>
      <c r="C170" s="141"/>
      <c r="D170" s="142"/>
      <c r="E170" s="141"/>
      <c r="F170" s="141"/>
      <c r="G170" s="50"/>
      <c r="H170" s="50"/>
      <c r="I170" s="7"/>
      <c r="J170" s="50"/>
      <c r="K170" s="50"/>
      <c r="L170" s="50"/>
      <c r="M170" s="50"/>
      <c r="N170" s="50"/>
      <c r="O170" s="50"/>
      <c r="P170" s="50"/>
      <c r="Q170" s="50"/>
      <c r="R170" s="50"/>
    </row>
    <row r="171" ht="15.75" customHeight="1">
      <c r="A171" s="141"/>
      <c r="B171" s="141"/>
      <c r="C171" s="141"/>
      <c r="D171" s="142"/>
      <c r="E171" s="141"/>
      <c r="F171" s="141"/>
      <c r="G171" s="50"/>
      <c r="H171" s="50"/>
      <c r="I171" s="7"/>
      <c r="J171" s="50"/>
      <c r="K171" s="50"/>
      <c r="L171" s="50"/>
      <c r="M171" s="50"/>
      <c r="N171" s="50"/>
      <c r="O171" s="50"/>
      <c r="P171" s="50"/>
      <c r="Q171" s="50"/>
      <c r="R171" s="50"/>
    </row>
    <row r="172" ht="15.75" customHeight="1">
      <c r="A172" s="141"/>
      <c r="B172" s="141"/>
      <c r="C172" s="141"/>
      <c r="D172" s="142"/>
      <c r="E172" s="141"/>
      <c r="F172" s="141"/>
      <c r="G172" s="50"/>
      <c r="H172" s="50"/>
      <c r="I172" s="7"/>
      <c r="J172" s="50"/>
      <c r="K172" s="50"/>
      <c r="L172" s="50"/>
      <c r="M172" s="50"/>
      <c r="N172" s="50"/>
      <c r="O172" s="50"/>
      <c r="P172" s="50"/>
      <c r="Q172" s="50"/>
      <c r="R172" s="50"/>
    </row>
    <row r="173" ht="15.75" customHeight="1">
      <c r="A173" s="141"/>
      <c r="B173" s="141"/>
      <c r="C173" s="141"/>
      <c r="D173" s="142"/>
      <c r="E173" s="141"/>
      <c r="F173" s="141"/>
      <c r="G173" s="50"/>
      <c r="H173" s="50"/>
      <c r="I173" s="7"/>
      <c r="J173" s="50"/>
      <c r="K173" s="50"/>
      <c r="L173" s="50"/>
      <c r="M173" s="50"/>
      <c r="N173" s="50"/>
      <c r="O173" s="50"/>
      <c r="P173" s="50"/>
      <c r="Q173" s="50"/>
      <c r="R173" s="50"/>
    </row>
    <row r="174" ht="15.75" customHeight="1">
      <c r="A174" s="141"/>
      <c r="B174" s="141"/>
      <c r="C174" s="141"/>
      <c r="D174" s="142"/>
      <c r="E174" s="141"/>
      <c r="F174" s="141"/>
      <c r="G174" s="50"/>
      <c r="H174" s="50"/>
      <c r="I174" s="7"/>
      <c r="J174" s="50"/>
      <c r="K174" s="50"/>
      <c r="L174" s="50"/>
      <c r="M174" s="50"/>
      <c r="N174" s="50"/>
      <c r="O174" s="50"/>
      <c r="P174" s="50"/>
      <c r="Q174" s="50"/>
      <c r="R174" s="50"/>
    </row>
    <row r="175" ht="15.75" customHeight="1">
      <c r="A175" s="141"/>
      <c r="B175" s="141"/>
      <c r="C175" s="141"/>
      <c r="D175" s="142"/>
      <c r="E175" s="141"/>
      <c r="F175" s="141"/>
      <c r="G175" s="50"/>
      <c r="H175" s="50"/>
      <c r="I175" s="7"/>
      <c r="J175" s="50"/>
      <c r="K175" s="50"/>
      <c r="L175" s="50"/>
      <c r="M175" s="50"/>
      <c r="N175" s="50"/>
      <c r="O175" s="50"/>
      <c r="P175" s="50"/>
      <c r="Q175" s="50"/>
      <c r="R175" s="50"/>
    </row>
    <row r="176" ht="15.75" customHeight="1">
      <c r="A176" s="141"/>
      <c r="B176" s="141"/>
      <c r="C176" s="141"/>
      <c r="D176" s="142"/>
      <c r="E176" s="141"/>
      <c r="F176" s="141"/>
      <c r="G176" s="50"/>
      <c r="H176" s="50"/>
      <c r="I176" s="7"/>
      <c r="J176" s="50"/>
      <c r="K176" s="50"/>
      <c r="L176" s="50"/>
      <c r="M176" s="50"/>
      <c r="N176" s="50"/>
      <c r="O176" s="50"/>
      <c r="P176" s="50"/>
      <c r="Q176" s="50"/>
      <c r="R176" s="50"/>
    </row>
    <row r="177" ht="15.75" customHeight="1">
      <c r="A177" s="141"/>
      <c r="B177" s="141"/>
      <c r="C177" s="141"/>
      <c r="D177" s="142"/>
      <c r="E177" s="141"/>
      <c r="F177" s="141"/>
      <c r="G177" s="50"/>
      <c r="H177" s="50"/>
      <c r="I177" s="7"/>
      <c r="J177" s="50"/>
      <c r="K177" s="50"/>
      <c r="L177" s="50"/>
      <c r="M177" s="50"/>
      <c r="N177" s="50"/>
      <c r="O177" s="50"/>
      <c r="P177" s="50"/>
      <c r="Q177" s="50"/>
      <c r="R177" s="50"/>
    </row>
    <row r="178" ht="15.75" customHeight="1">
      <c r="A178" s="141"/>
      <c r="B178" s="141"/>
      <c r="C178" s="141"/>
      <c r="D178" s="142"/>
      <c r="E178" s="141"/>
      <c r="F178" s="141"/>
      <c r="G178" s="50"/>
      <c r="H178" s="50"/>
      <c r="I178" s="7"/>
    </row>
    <row r="179" ht="15.75" customHeight="1">
      <c r="A179" s="141"/>
      <c r="B179" s="141"/>
      <c r="C179" s="141"/>
      <c r="D179" s="142"/>
      <c r="E179" s="141"/>
      <c r="F179" s="141"/>
      <c r="G179" s="50"/>
      <c r="H179" s="50"/>
      <c r="I179" s="7"/>
    </row>
    <row r="180" ht="15.75" customHeight="1">
      <c r="A180" s="141"/>
      <c r="B180" s="141"/>
      <c r="C180" s="141"/>
      <c r="D180" s="142"/>
      <c r="E180" s="141"/>
      <c r="F180" s="141"/>
      <c r="G180" s="50"/>
      <c r="H180" s="50"/>
      <c r="I180" s="7"/>
    </row>
    <row r="181" ht="15.75" customHeight="1">
      <c r="A181" s="141"/>
      <c r="B181" s="141"/>
      <c r="C181" s="141"/>
      <c r="D181" s="142"/>
      <c r="E181" s="141"/>
      <c r="F181" s="141"/>
      <c r="G181" s="50"/>
      <c r="H181" s="50"/>
      <c r="I181" s="7"/>
    </row>
    <row r="182" ht="15.75" customHeight="1">
      <c r="A182" s="141"/>
      <c r="B182" s="141"/>
      <c r="C182" s="141"/>
      <c r="D182" s="142"/>
      <c r="E182" s="141"/>
      <c r="F182" s="141"/>
      <c r="G182" s="50"/>
      <c r="H182" s="50"/>
      <c r="I182" s="7"/>
    </row>
    <row r="183" ht="15.75" customHeight="1">
      <c r="A183" s="141"/>
      <c r="B183" s="141"/>
      <c r="C183" s="141"/>
      <c r="D183" s="142"/>
      <c r="E183" s="141"/>
      <c r="F183" s="141"/>
      <c r="G183" s="50"/>
      <c r="H183" s="50"/>
      <c r="I183" s="7"/>
    </row>
    <row r="184" ht="15.75" customHeight="1">
      <c r="A184" s="141"/>
      <c r="B184" s="141"/>
      <c r="C184" s="141"/>
      <c r="D184" s="142"/>
      <c r="E184" s="141"/>
      <c r="F184" s="141"/>
      <c r="G184" s="50"/>
      <c r="H184" s="50"/>
      <c r="I184" s="7"/>
    </row>
    <row r="185" ht="15.75" customHeight="1">
      <c r="A185" s="141"/>
      <c r="B185" s="141"/>
      <c r="C185" s="141"/>
      <c r="D185" s="142"/>
      <c r="E185" s="141"/>
      <c r="F185" s="141"/>
      <c r="G185" s="50"/>
      <c r="H185" s="50"/>
      <c r="I185" s="7"/>
    </row>
    <row r="186" ht="15.75" customHeight="1">
      <c r="A186" s="141"/>
      <c r="B186" s="141"/>
      <c r="C186" s="141"/>
      <c r="D186" s="142"/>
      <c r="E186" s="141"/>
      <c r="F186" s="141"/>
      <c r="G186" s="50"/>
      <c r="H186" s="50"/>
      <c r="I186" s="7"/>
    </row>
    <row r="187" ht="15.75" customHeight="1">
      <c r="A187" s="141"/>
      <c r="B187" s="141"/>
      <c r="C187" s="141"/>
      <c r="D187" s="142"/>
      <c r="E187" s="141"/>
      <c r="F187" s="141"/>
      <c r="G187" s="50"/>
      <c r="H187" s="50"/>
      <c r="I187" s="7"/>
    </row>
    <row r="188" ht="15.75" customHeight="1">
      <c r="A188" s="141"/>
      <c r="B188" s="141"/>
      <c r="C188" s="141"/>
      <c r="D188" s="142"/>
      <c r="E188" s="141"/>
      <c r="F188" s="141"/>
      <c r="G188" s="50"/>
      <c r="H188" s="50"/>
      <c r="I188" s="7"/>
    </row>
    <row r="189" ht="15.75" customHeight="1">
      <c r="A189" s="141"/>
      <c r="B189" s="141"/>
      <c r="C189" s="141"/>
      <c r="D189" s="142"/>
      <c r="E189" s="141"/>
      <c r="F189" s="141"/>
      <c r="G189" s="50"/>
      <c r="H189" s="50"/>
      <c r="I189" s="7"/>
    </row>
    <row r="190" ht="15.75" customHeight="1">
      <c r="A190" s="141"/>
      <c r="B190" s="141"/>
      <c r="C190" s="141"/>
      <c r="D190" s="142"/>
      <c r="E190" s="141"/>
      <c r="F190" s="141"/>
      <c r="G190" s="50"/>
      <c r="H190" s="50"/>
      <c r="I190" s="7"/>
    </row>
    <row r="191" ht="15.75" customHeight="1">
      <c r="A191" s="141"/>
      <c r="B191" s="141"/>
      <c r="C191" s="141"/>
      <c r="D191" s="142"/>
      <c r="E191" s="141"/>
      <c r="F191" s="141"/>
      <c r="G191" s="50"/>
      <c r="H191" s="50"/>
      <c r="I191" s="7"/>
    </row>
    <row r="192" ht="15.75" customHeight="1">
      <c r="A192" s="141"/>
      <c r="B192" s="141"/>
      <c r="C192" s="141"/>
      <c r="D192" s="142"/>
      <c r="E192" s="141"/>
      <c r="F192" s="141"/>
      <c r="G192" s="50"/>
      <c r="H192" s="50"/>
      <c r="I192" s="7"/>
    </row>
    <row r="193" ht="15.75" customHeight="1">
      <c r="A193" s="141"/>
      <c r="B193" s="141"/>
      <c r="C193" s="141"/>
      <c r="D193" s="142"/>
      <c r="E193" s="141"/>
      <c r="F193" s="141"/>
      <c r="G193" s="50"/>
      <c r="H193" s="50"/>
      <c r="I193" s="7"/>
    </row>
    <row r="194" ht="15.75" customHeight="1">
      <c r="A194" s="141"/>
      <c r="B194" s="141"/>
      <c r="C194" s="141"/>
      <c r="D194" s="142"/>
      <c r="E194" s="141"/>
      <c r="F194" s="141"/>
      <c r="G194" s="50"/>
      <c r="H194" s="50"/>
      <c r="I194" s="7"/>
    </row>
    <row r="195" ht="15.75" customHeight="1">
      <c r="A195" s="141"/>
      <c r="B195" s="141"/>
      <c r="C195" s="141"/>
      <c r="D195" s="142"/>
      <c r="E195" s="141"/>
      <c r="F195" s="141"/>
      <c r="G195" s="50"/>
      <c r="H195" s="50"/>
      <c r="I195" s="7"/>
    </row>
    <row r="196" ht="15.75" customHeight="1">
      <c r="A196" s="141"/>
      <c r="B196" s="141"/>
      <c r="C196" s="141"/>
      <c r="D196" s="142"/>
      <c r="E196" s="141"/>
      <c r="F196" s="141"/>
      <c r="G196" s="50"/>
      <c r="H196" s="50"/>
      <c r="I196" s="7"/>
    </row>
    <row r="197" ht="15.75" customHeight="1">
      <c r="A197" s="141"/>
      <c r="B197" s="141"/>
      <c r="C197" s="141"/>
      <c r="D197" s="142"/>
      <c r="E197" s="141"/>
      <c r="F197" s="141"/>
      <c r="G197" s="50"/>
      <c r="H197" s="50"/>
      <c r="I197" s="7"/>
    </row>
    <row r="198" ht="15.75" customHeight="1">
      <c r="A198" s="141"/>
      <c r="B198" s="141"/>
      <c r="C198" s="141"/>
      <c r="D198" s="142"/>
      <c r="E198" s="141"/>
      <c r="F198" s="141"/>
      <c r="G198" s="50"/>
      <c r="H198" s="50"/>
      <c r="I198" s="7"/>
    </row>
    <row r="199" ht="15.75" customHeight="1">
      <c r="A199" s="141"/>
      <c r="B199" s="141"/>
      <c r="C199" s="141"/>
      <c r="D199" s="142"/>
      <c r="E199" s="141"/>
      <c r="F199" s="141"/>
      <c r="G199" s="50"/>
      <c r="H199" s="50"/>
      <c r="I199" s="7"/>
    </row>
    <row r="200" ht="15.75" customHeight="1">
      <c r="A200" s="141"/>
      <c r="B200" s="141"/>
      <c r="C200" s="141"/>
      <c r="D200" s="142"/>
      <c r="E200" s="141"/>
      <c r="F200" s="141"/>
      <c r="G200" s="50"/>
      <c r="H200" s="50"/>
      <c r="I200" s="7"/>
    </row>
    <row r="201" ht="15.75" customHeight="1">
      <c r="A201" s="141"/>
      <c r="B201" s="141"/>
      <c r="C201" s="141"/>
      <c r="D201" s="142"/>
      <c r="E201" s="141"/>
      <c r="F201" s="141"/>
      <c r="G201" s="50"/>
      <c r="H201" s="50"/>
      <c r="I201" s="7"/>
    </row>
    <row r="202" ht="15.75" customHeight="1">
      <c r="A202" s="141"/>
      <c r="B202" s="141"/>
      <c r="C202" s="141"/>
      <c r="D202" s="142"/>
      <c r="E202" s="141"/>
      <c r="F202" s="141"/>
      <c r="G202" s="50"/>
      <c r="H202" s="50"/>
      <c r="I202" s="7"/>
    </row>
    <row r="203" ht="15.75" customHeight="1">
      <c r="A203" s="141"/>
      <c r="B203" s="141"/>
      <c r="C203" s="141"/>
      <c r="D203" s="142"/>
      <c r="E203" s="141"/>
      <c r="F203" s="141"/>
      <c r="G203" s="50"/>
      <c r="H203" s="50"/>
      <c r="I203" s="7"/>
    </row>
    <row r="204" ht="15.75" customHeight="1">
      <c r="A204" s="141"/>
      <c r="B204" s="141"/>
      <c r="C204" s="141"/>
      <c r="D204" s="142"/>
      <c r="E204" s="141"/>
      <c r="F204" s="141"/>
      <c r="G204" s="50"/>
      <c r="H204" s="50"/>
      <c r="I204" s="7"/>
    </row>
    <row r="205" ht="15.75" customHeight="1">
      <c r="A205" s="141"/>
      <c r="B205" s="141"/>
      <c r="C205" s="141"/>
      <c r="D205" s="142"/>
      <c r="E205" s="141"/>
      <c r="F205" s="141"/>
      <c r="G205" s="50"/>
      <c r="H205" s="50"/>
      <c r="I205" s="7"/>
    </row>
    <row r="206" ht="15.75" customHeight="1">
      <c r="A206" s="141"/>
      <c r="B206" s="141"/>
      <c r="C206" s="141"/>
      <c r="D206" s="142"/>
      <c r="E206" s="141"/>
      <c r="F206" s="141"/>
      <c r="G206" s="50"/>
      <c r="H206" s="50"/>
      <c r="I206" s="7"/>
    </row>
    <row r="207" ht="15.75" customHeight="1">
      <c r="A207" s="141"/>
      <c r="B207" s="141"/>
      <c r="C207" s="141"/>
      <c r="D207" s="142"/>
      <c r="E207" s="141"/>
      <c r="F207" s="141"/>
      <c r="G207" s="50"/>
      <c r="H207" s="50"/>
      <c r="I207" s="7"/>
    </row>
    <row r="208" ht="15.75" customHeight="1">
      <c r="A208" s="141"/>
      <c r="B208" s="141"/>
      <c r="C208" s="141"/>
      <c r="D208" s="142"/>
      <c r="E208" s="141"/>
      <c r="F208" s="141"/>
      <c r="G208" s="50"/>
      <c r="H208" s="50"/>
      <c r="I208" s="7"/>
    </row>
    <row r="209" ht="15.75" customHeight="1">
      <c r="A209" s="141"/>
      <c r="B209" s="141"/>
      <c r="C209" s="141"/>
      <c r="D209" s="142"/>
      <c r="E209" s="141"/>
      <c r="F209" s="141"/>
      <c r="G209" s="50"/>
      <c r="H209" s="50"/>
      <c r="I209" s="7"/>
    </row>
    <row r="210" ht="15.75" customHeight="1">
      <c r="A210" s="141"/>
      <c r="B210" s="141"/>
      <c r="C210" s="141"/>
      <c r="D210" s="142"/>
      <c r="E210" s="141"/>
      <c r="F210" s="141"/>
      <c r="G210" s="50"/>
      <c r="H210" s="50"/>
      <c r="I210" s="7"/>
    </row>
    <row r="211" ht="15.75" customHeight="1">
      <c r="A211" s="141"/>
      <c r="B211" s="141"/>
      <c r="C211" s="141"/>
      <c r="D211" s="142"/>
      <c r="E211" s="141"/>
      <c r="F211" s="141"/>
      <c r="G211" s="50"/>
      <c r="H211" s="50"/>
      <c r="I211" s="7"/>
    </row>
    <row r="212" ht="15.75" customHeight="1">
      <c r="A212" s="141"/>
      <c r="B212" s="141"/>
      <c r="C212" s="141"/>
      <c r="D212" s="142"/>
      <c r="E212" s="141"/>
      <c r="F212" s="141"/>
      <c r="G212" s="50"/>
      <c r="H212" s="50"/>
      <c r="I212" s="7"/>
    </row>
    <row r="213" ht="15.75" customHeight="1">
      <c r="A213" s="141"/>
      <c r="B213" s="141"/>
      <c r="C213" s="141"/>
      <c r="D213" s="142"/>
      <c r="E213" s="141"/>
      <c r="F213" s="141"/>
      <c r="G213" s="50"/>
      <c r="H213" s="50"/>
      <c r="I213" s="7"/>
    </row>
    <row r="214" ht="15.75" customHeight="1">
      <c r="A214" s="141"/>
      <c r="B214" s="141"/>
      <c r="C214" s="141"/>
      <c r="D214" s="142"/>
      <c r="E214" s="141"/>
      <c r="F214" s="141"/>
      <c r="G214" s="50"/>
      <c r="H214" s="50"/>
      <c r="I214" s="7"/>
    </row>
    <row r="215" ht="15.75" customHeight="1">
      <c r="A215" s="141"/>
      <c r="B215" s="141"/>
      <c r="C215" s="141"/>
      <c r="D215" s="142"/>
      <c r="E215" s="141"/>
      <c r="F215" s="141"/>
      <c r="G215" s="50"/>
      <c r="H215" s="50"/>
      <c r="I215" s="7"/>
    </row>
    <row r="216" ht="15.75" customHeight="1">
      <c r="A216" s="141"/>
      <c r="B216" s="141"/>
      <c r="C216" s="141"/>
      <c r="D216" s="142"/>
      <c r="E216" s="141"/>
      <c r="F216" s="141"/>
      <c r="G216" s="50"/>
      <c r="H216" s="50"/>
      <c r="I216" s="7"/>
    </row>
    <row r="217" ht="15.75" customHeight="1">
      <c r="A217" s="141"/>
      <c r="B217" s="141"/>
      <c r="C217" s="141"/>
      <c r="D217" s="142"/>
      <c r="E217" s="141"/>
      <c r="F217" s="141"/>
      <c r="G217" s="50"/>
      <c r="H217" s="50"/>
      <c r="I217" s="7"/>
    </row>
    <row r="218" ht="15.75" customHeight="1">
      <c r="A218" s="141"/>
      <c r="B218" s="141"/>
      <c r="C218" s="141"/>
      <c r="D218" s="142"/>
      <c r="E218" s="141"/>
      <c r="F218" s="141"/>
      <c r="G218" s="50"/>
      <c r="H218" s="50"/>
      <c r="I218" s="7"/>
    </row>
    <row r="219" ht="15.75" customHeight="1">
      <c r="A219" s="141"/>
      <c r="B219" s="141"/>
      <c r="C219" s="141"/>
      <c r="D219" s="142"/>
      <c r="E219" s="141"/>
      <c r="F219" s="141"/>
      <c r="G219" s="50"/>
      <c r="H219" s="50"/>
      <c r="I219" s="7"/>
    </row>
    <row r="220" ht="15.75" customHeight="1">
      <c r="A220" s="141"/>
      <c r="B220" s="141"/>
      <c r="C220" s="141"/>
      <c r="D220" s="142"/>
      <c r="E220" s="141"/>
      <c r="F220" s="141"/>
      <c r="G220" s="50"/>
      <c r="H220" s="50"/>
      <c r="I220" s="7"/>
    </row>
    <row r="221" ht="15.75" customHeight="1">
      <c r="A221" s="141"/>
      <c r="B221" s="141"/>
      <c r="C221" s="141"/>
      <c r="D221" s="142"/>
      <c r="E221" s="141"/>
      <c r="F221" s="141"/>
      <c r="G221" s="50"/>
      <c r="H221" s="50"/>
      <c r="I221" s="7"/>
    </row>
    <row r="222" ht="15.75" customHeight="1">
      <c r="A222" s="141"/>
      <c r="B222" s="141"/>
      <c r="C222" s="141"/>
      <c r="D222" s="142"/>
      <c r="E222" s="141"/>
      <c r="F222" s="141"/>
      <c r="G222" s="50"/>
      <c r="H222" s="50"/>
      <c r="I222" s="7"/>
    </row>
    <row r="223" ht="15.75" customHeight="1">
      <c r="A223" s="141"/>
      <c r="B223" s="141"/>
      <c r="C223" s="141"/>
      <c r="D223" s="142"/>
      <c r="E223" s="141"/>
      <c r="F223" s="141"/>
      <c r="G223" s="50"/>
      <c r="H223" s="50"/>
      <c r="I223" s="7"/>
    </row>
    <row r="224" ht="15.75" customHeight="1">
      <c r="A224" s="141"/>
      <c r="B224" s="141"/>
      <c r="C224" s="141"/>
      <c r="D224" s="142"/>
      <c r="E224" s="141"/>
      <c r="F224" s="141"/>
      <c r="G224" s="50"/>
      <c r="H224" s="50"/>
      <c r="I224" s="7"/>
    </row>
    <row r="225" ht="15.75" customHeight="1">
      <c r="A225" s="141"/>
      <c r="B225" s="141"/>
      <c r="C225" s="141"/>
      <c r="D225" s="142"/>
      <c r="E225" s="141"/>
      <c r="F225" s="141"/>
      <c r="G225" s="50"/>
      <c r="H225" s="50"/>
      <c r="I225" s="7"/>
    </row>
    <row r="226" ht="15.75" customHeight="1">
      <c r="A226" s="141"/>
      <c r="B226" s="141"/>
      <c r="C226" s="141"/>
      <c r="D226" s="142"/>
      <c r="E226" s="141"/>
      <c r="F226" s="141"/>
      <c r="G226" s="50"/>
      <c r="H226" s="50"/>
      <c r="I226" s="7"/>
    </row>
    <row r="227" ht="15.75" customHeight="1">
      <c r="A227" s="141"/>
      <c r="B227" s="141"/>
      <c r="C227" s="141"/>
      <c r="D227" s="142"/>
      <c r="E227" s="141"/>
      <c r="F227" s="141"/>
      <c r="G227" s="50"/>
      <c r="H227" s="50"/>
      <c r="I227" s="7"/>
    </row>
    <row r="228" ht="15.75" customHeight="1">
      <c r="A228" s="141"/>
      <c r="B228" s="141"/>
      <c r="C228" s="141"/>
      <c r="D228" s="142"/>
      <c r="E228" s="141"/>
      <c r="F228" s="141"/>
      <c r="G228" s="50"/>
      <c r="H228" s="50"/>
      <c r="I228" s="7"/>
    </row>
    <row r="229" ht="15.75" customHeight="1">
      <c r="A229" s="141"/>
      <c r="B229" s="141"/>
      <c r="C229" s="141"/>
      <c r="D229" s="142"/>
      <c r="E229" s="141"/>
      <c r="F229" s="141"/>
      <c r="G229" s="50"/>
      <c r="H229" s="50"/>
      <c r="I229" s="7"/>
    </row>
    <row r="230" ht="15.75" customHeight="1">
      <c r="A230" s="141"/>
      <c r="B230" s="141"/>
      <c r="C230" s="141"/>
      <c r="D230" s="142"/>
      <c r="E230" s="141"/>
      <c r="F230" s="141"/>
      <c r="G230" s="50"/>
      <c r="H230" s="50"/>
      <c r="I230" s="7"/>
    </row>
    <row r="231" ht="15.75" customHeight="1">
      <c r="A231" s="141"/>
      <c r="B231" s="141"/>
      <c r="C231" s="141"/>
      <c r="D231" s="142"/>
      <c r="E231" s="141"/>
      <c r="F231" s="141"/>
      <c r="G231" s="50"/>
      <c r="H231" s="50"/>
      <c r="I231" s="7"/>
    </row>
    <row r="232" ht="15.75" customHeight="1">
      <c r="A232" s="141"/>
      <c r="B232" s="141"/>
      <c r="C232" s="141"/>
      <c r="D232" s="142"/>
      <c r="E232" s="141"/>
      <c r="F232" s="141"/>
      <c r="G232" s="50"/>
      <c r="H232" s="50"/>
      <c r="I232" s="7"/>
    </row>
    <row r="233" ht="15.75" customHeight="1">
      <c r="A233" s="141"/>
      <c r="B233" s="141"/>
      <c r="C233" s="141"/>
      <c r="D233" s="142"/>
      <c r="E233" s="141"/>
      <c r="F233" s="141"/>
      <c r="G233" s="50"/>
      <c r="H233" s="50"/>
      <c r="I233" s="7"/>
    </row>
    <row r="234" ht="15.75" customHeight="1">
      <c r="A234" s="141"/>
      <c r="B234" s="141"/>
      <c r="C234" s="141"/>
      <c r="D234" s="142"/>
      <c r="E234" s="141"/>
      <c r="F234" s="141"/>
      <c r="G234" s="50"/>
      <c r="H234" s="50"/>
      <c r="I234" s="7"/>
    </row>
    <row r="235" ht="15.75" customHeight="1">
      <c r="A235" s="141"/>
      <c r="B235" s="141"/>
      <c r="C235" s="141"/>
      <c r="D235" s="142"/>
      <c r="E235" s="141"/>
      <c r="F235" s="141"/>
      <c r="G235" s="50"/>
      <c r="H235" s="50"/>
      <c r="I235" s="7"/>
    </row>
    <row r="236" ht="15.75" customHeight="1">
      <c r="A236" s="141"/>
      <c r="B236" s="141"/>
      <c r="C236" s="141"/>
      <c r="D236" s="142"/>
      <c r="E236" s="141"/>
      <c r="F236" s="141"/>
      <c r="G236" s="50"/>
      <c r="H236" s="50"/>
      <c r="I236" s="7"/>
    </row>
    <row r="237" ht="15.75" customHeight="1">
      <c r="A237" s="141"/>
      <c r="B237" s="141"/>
      <c r="C237" s="141"/>
      <c r="D237" s="142"/>
      <c r="E237" s="141"/>
      <c r="F237" s="141"/>
      <c r="G237" s="50"/>
      <c r="H237" s="50"/>
      <c r="I237" s="7"/>
    </row>
    <row r="238" ht="15.75" customHeight="1">
      <c r="A238" s="141"/>
      <c r="B238" s="141"/>
      <c r="C238" s="141"/>
      <c r="D238" s="142"/>
      <c r="E238" s="141"/>
      <c r="F238" s="141"/>
      <c r="G238" s="50"/>
      <c r="H238" s="50"/>
      <c r="I238" s="7"/>
    </row>
    <row r="239" ht="15.75" customHeight="1">
      <c r="A239" s="141"/>
      <c r="B239" s="141"/>
      <c r="C239" s="141"/>
      <c r="D239" s="142"/>
      <c r="E239" s="141"/>
      <c r="F239" s="141"/>
      <c r="G239" s="50"/>
      <c r="H239" s="50"/>
      <c r="I239" s="7"/>
    </row>
    <row r="240" ht="15.75" customHeight="1">
      <c r="A240" s="141"/>
      <c r="B240" s="141"/>
      <c r="C240" s="141"/>
      <c r="D240" s="142"/>
      <c r="E240" s="141"/>
      <c r="F240" s="141"/>
      <c r="G240" s="50"/>
      <c r="H240" s="50"/>
      <c r="I240" s="7"/>
    </row>
    <row r="241" ht="15.75" customHeight="1">
      <c r="A241" s="141"/>
      <c r="B241" s="141"/>
      <c r="C241" s="141"/>
      <c r="D241" s="142"/>
      <c r="E241" s="141"/>
      <c r="F241" s="141"/>
      <c r="G241" s="50"/>
      <c r="H241" s="50"/>
      <c r="I241" s="7"/>
    </row>
    <row r="242" ht="15.75" customHeight="1">
      <c r="A242" s="141"/>
      <c r="B242" s="141"/>
      <c r="C242" s="141"/>
      <c r="D242" s="142"/>
      <c r="E242" s="141"/>
      <c r="F242" s="141"/>
      <c r="G242" s="50"/>
      <c r="H242" s="50"/>
      <c r="I242" s="7"/>
    </row>
    <row r="243" ht="15.75" customHeight="1">
      <c r="A243" s="141"/>
      <c r="B243" s="141"/>
      <c r="C243" s="141"/>
      <c r="D243" s="142"/>
      <c r="E243" s="141"/>
      <c r="F243" s="141"/>
      <c r="G243" s="50"/>
      <c r="H243" s="50"/>
      <c r="I243" s="7"/>
    </row>
    <row r="244" ht="15.75" customHeight="1">
      <c r="A244" s="141"/>
      <c r="B244" s="141"/>
      <c r="C244" s="141"/>
      <c r="D244" s="142"/>
      <c r="E244" s="141"/>
      <c r="F244" s="141"/>
      <c r="G244" s="50"/>
      <c r="H244" s="50"/>
      <c r="I244" s="7"/>
    </row>
    <row r="245" ht="15.75" customHeight="1">
      <c r="A245" s="141"/>
      <c r="B245" s="141"/>
      <c r="C245" s="141"/>
      <c r="D245" s="142"/>
      <c r="E245" s="141"/>
      <c r="F245" s="141"/>
      <c r="G245" s="50"/>
      <c r="H245" s="50"/>
      <c r="I245" s="7"/>
    </row>
    <row r="246" ht="15.75" customHeight="1">
      <c r="A246" s="141"/>
      <c r="B246" s="141"/>
      <c r="C246" s="141"/>
      <c r="D246" s="142"/>
      <c r="E246" s="141"/>
      <c r="F246" s="141"/>
      <c r="G246" s="50"/>
      <c r="H246" s="50"/>
      <c r="I246" s="7"/>
    </row>
    <row r="247" ht="15.75" customHeight="1">
      <c r="A247" s="141"/>
      <c r="B247" s="141"/>
      <c r="C247" s="141"/>
      <c r="D247" s="142"/>
      <c r="E247" s="141"/>
      <c r="F247" s="141"/>
      <c r="G247" s="50"/>
      <c r="H247" s="50"/>
      <c r="I247" s="7"/>
    </row>
    <row r="248" ht="15.75" customHeight="1">
      <c r="A248" s="141"/>
      <c r="B248" s="141"/>
      <c r="C248" s="141"/>
      <c r="D248" s="142"/>
      <c r="E248" s="141"/>
      <c r="F248" s="141"/>
      <c r="G248" s="50"/>
      <c r="H248" s="50"/>
      <c r="I248" s="7"/>
    </row>
    <row r="249" ht="15.75" customHeight="1">
      <c r="A249" s="141"/>
      <c r="B249" s="141"/>
      <c r="C249" s="141"/>
      <c r="D249" s="142"/>
      <c r="E249" s="141"/>
      <c r="F249" s="141"/>
      <c r="G249" s="50"/>
      <c r="H249" s="50"/>
      <c r="I249" s="7"/>
    </row>
    <row r="250" ht="15.75" customHeight="1">
      <c r="A250" s="141"/>
      <c r="B250" s="141"/>
      <c r="C250" s="141"/>
      <c r="D250" s="142"/>
      <c r="E250" s="141"/>
      <c r="F250" s="141"/>
      <c r="G250" s="50"/>
      <c r="H250" s="50"/>
      <c r="I250" s="7"/>
    </row>
    <row r="251" ht="15.75" customHeight="1">
      <c r="A251" s="141"/>
      <c r="B251" s="141"/>
      <c r="C251" s="141"/>
      <c r="D251" s="142"/>
      <c r="E251" s="141"/>
      <c r="F251" s="141"/>
      <c r="G251" s="50"/>
      <c r="H251" s="50"/>
      <c r="I251" s="7"/>
    </row>
    <row r="252" ht="15.75" customHeight="1">
      <c r="A252" s="141"/>
      <c r="B252" s="141"/>
      <c r="C252" s="141"/>
      <c r="D252" s="142"/>
      <c r="E252" s="141"/>
      <c r="F252" s="141"/>
      <c r="G252" s="50"/>
      <c r="H252" s="50"/>
      <c r="I252" s="7"/>
    </row>
    <row r="253" ht="15.75" customHeight="1">
      <c r="A253" s="141"/>
      <c r="B253" s="141"/>
      <c r="C253" s="141"/>
      <c r="D253" s="142"/>
      <c r="E253" s="141"/>
      <c r="F253" s="141"/>
      <c r="G253" s="50"/>
      <c r="H253" s="50"/>
      <c r="I253" s="7"/>
    </row>
    <row r="254" ht="15.75" customHeight="1">
      <c r="A254" s="141"/>
      <c r="B254" s="141"/>
      <c r="C254" s="141"/>
      <c r="D254" s="142"/>
      <c r="E254" s="141"/>
      <c r="F254" s="141"/>
      <c r="G254" s="50"/>
      <c r="H254" s="50"/>
      <c r="I254" s="7"/>
    </row>
    <row r="255" ht="15.75" customHeight="1">
      <c r="A255" s="141"/>
      <c r="B255" s="141"/>
      <c r="C255" s="141"/>
      <c r="D255" s="142"/>
      <c r="E255" s="141"/>
      <c r="F255" s="141"/>
      <c r="G255" s="50"/>
      <c r="H255" s="50"/>
      <c r="I255" s="7"/>
    </row>
    <row r="256" ht="15.75" customHeight="1">
      <c r="A256" s="141"/>
      <c r="B256" s="141"/>
      <c r="C256" s="141"/>
      <c r="D256" s="142"/>
      <c r="E256" s="141"/>
      <c r="F256" s="141"/>
      <c r="G256" s="50"/>
      <c r="H256" s="50"/>
      <c r="I256" s="7"/>
    </row>
    <row r="257" ht="15.75" customHeight="1">
      <c r="A257" s="141"/>
      <c r="B257" s="141"/>
      <c r="C257" s="141"/>
      <c r="D257" s="142"/>
      <c r="E257" s="141"/>
      <c r="F257" s="141"/>
      <c r="G257" s="50"/>
      <c r="H257" s="50"/>
      <c r="I257" s="7"/>
    </row>
    <row r="258" ht="15.75" customHeight="1">
      <c r="A258" s="141"/>
      <c r="B258" s="141"/>
      <c r="C258" s="141"/>
      <c r="D258" s="142"/>
      <c r="E258" s="141"/>
      <c r="F258" s="141"/>
      <c r="G258" s="50"/>
      <c r="H258" s="50"/>
      <c r="I258" s="7"/>
    </row>
    <row r="259" ht="15.75" customHeight="1">
      <c r="A259" s="141"/>
      <c r="B259" s="141"/>
      <c r="C259" s="141"/>
      <c r="D259" s="142"/>
      <c r="E259" s="141"/>
      <c r="F259" s="141"/>
      <c r="G259" s="50"/>
      <c r="H259" s="50"/>
      <c r="I259" s="7"/>
    </row>
    <row r="260" ht="15.75" customHeight="1">
      <c r="A260" s="141"/>
      <c r="B260" s="141"/>
      <c r="C260" s="141"/>
      <c r="D260" s="142"/>
      <c r="E260" s="141"/>
      <c r="F260" s="141"/>
      <c r="G260" s="50"/>
      <c r="H260" s="50"/>
      <c r="I260" s="7"/>
    </row>
    <row r="261" ht="15.75" customHeight="1">
      <c r="A261" s="141"/>
      <c r="B261" s="141"/>
      <c r="C261" s="141"/>
      <c r="D261" s="142"/>
      <c r="E261" s="141"/>
      <c r="F261" s="141"/>
      <c r="G261" s="50"/>
      <c r="H261" s="50"/>
      <c r="I261" s="7"/>
    </row>
    <row r="262" ht="15.75" customHeight="1">
      <c r="A262" s="141"/>
      <c r="B262" s="141"/>
      <c r="C262" s="141"/>
      <c r="D262" s="142"/>
      <c r="E262" s="141"/>
      <c r="F262" s="141"/>
      <c r="G262" s="50"/>
      <c r="H262" s="50"/>
      <c r="I262" s="7"/>
    </row>
    <row r="263" ht="15.75" customHeight="1">
      <c r="A263" s="141"/>
      <c r="B263" s="141"/>
      <c r="C263" s="141"/>
      <c r="D263" s="142"/>
      <c r="E263" s="141"/>
      <c r="F263" s="141"/>
      <c r="G263" s="50"/>
      <c r="H263" s="50"/>
      <c r="I263" s="7"/>
    </row>
    <row r="264" ht="15.75" customHeight="1">
      <c r="A264" s="141"/>
      <c r="B264" s="141"/>
      <c r="C264" s="141"/>
      <c r="D264" s="142"/>
      <c r="E264" s="141"/>
      <c r="F264" s="141"/>
      <c r="G264" s="50"/>
      <c r="H264" s="50"/>
      <c r="I264" s="7"/>
    </row>
    <row r="265" ht="15.75" customHeight="1">
      <c r="A265" s="141"/>
      <c r="B265" s="141"/>
      <c r="C265" s="141"/>
      <c r="D265" s="142"/>
      <c r="E265" s="141"/>
      <c r="F265" s="141"/>
      <c r="G265" s="50"/>
      <c r="H265" s="50"/>
      <c r="I265" s="7"/>
    </row>
    <row r="266" ht="15.75" customHeight="1">
      <c r="A266" s="141"/>
      <c r="B266" s="141"/>
      <c r="C266" s="141"/>
      <c r="D266" s="142"/>
      <c r="E266" s="141"/>
      <c r="F266" s="141"/>
      <c r="G266" s="50"/>
      <c r="H266" s="50"/>
      <c r="I266" s="7"/>
    </row>
    <row r="267" ht="15.75" customHeight="1">
      <c r="A267" s="141"/>
      <c r="B267" s="141"/>
      <c r="C267" s="141"/>
      <c r="D267" s="142"/>
      <c r="E267" s="141"/>
      <c r="F267" s="141"/>
      <c r="G267" s="50"/>
      <c r="H267" s="50"/>
      <c r="I267" s="7"/>
    </row>
    <row r="268" ht="15.75" customHeight="1">
      <c r="A268" s="141"/>
      <c r="B268" s="141"/>
      <c r="C268" s="141"/>
      <c r="D268" s="142"/>
      <c r="E268" s="141"/>
      <c r="F268" s="141"/>
      <c r="G268" s="50"/>
      <c r="H268" s="50"/>
      <c r="I268" s="7"/>
    </row>
    <row r="269" ht="15.75" customHeight="1">
      <c r="A269" s="141"/>
      <c r="B269" s="141"/>
      <c r="C269" s="141"/>
      <c r="D269" s="142"/>
      <c r="E269" s="141"/>
      <c r="F269" s="141"/>
      <c r="G269" s="50"/>
      <c r="H269" s="50"/>
      <c r="I269" s="7"/>
    </row>
    <row r="270" ht="15.75" customHeight="1">
      <c r="A270" s="141"/>
      <c r="B270" s="141"/>
      <c r="C270" s="141"/>
      <c r="D270" s="142"/>
      <c r="E270" s="141"/>
      <c r="F270" s="141"/>
      <c r="G270" s="50"/>
      <c r="H270" s="50"/>
      <c r="I270" s="7"/>
    </row>
    <row r="271" ht="15.75" customHeight="1">
      <c r="A271" s="141"/>
      <c r="B271" s="141"/>
      <c r="C271" s="141"/>
      <c r="D271" s="142"/>
      <c r="E271" s="141"/>
      <c r="F271" s="141"/>
      <c r="G271" s="50"/>
      <c r="H271" s="50"/>
      <c r="I271" s="7"/>
    </row>
    <row r="272" ht="15.75" customHeight="1">
      <c r="A272" s="141"/>
      <c r="B272" s="141"/>
      <c r="C272" s="141"/>
      <c r="D272" s="142"/>
      <c r="E272" s="141"/>
      <c r="F272" s="141"/>
      <c r="G272" s="50"/>
      <c r="H272" s="50"/>
      <c r="I272" s="7"/>
    </row>
    <row r="273" ht="15.75" customHeight="1">
      <c r="A273" s="141"/>
      <c r="B273" s="141"/>
      <c r="C273" s="141"/>
      <c r="D273" s="142"/>
      <c r="E273" s="141"/>
      <c r="F273" s="141"/>
      <c r="G273" s="50"/>
      <c r="H273" s="50"/>
      <c r="I273" s="7"/>
    </row>
    <row r="274" ht="15.75" customHeight="1">
      <c r="A274" s="141"/>
      <c r="B274" s="141"/>
      <c r="C274" s="141"/>
      <c r="D274" s="142"/>
      <c r="E274" s="141"/>
      <c r="F274" s="141"/>
      <c r="G274" s="50"/>
      <c r="H274" s="50"/>
      <c r="I274" s="7"/>
    </row>
    <row r="275" ht="15.75" customHeight="1">
      <c r="A275" s="141"/>
      <c r="B275" s="141"/>
      <c r="C275" s="141"/>
      <c r="D275" s="142"/>
      <c r="E275" s="141"/>
      <c r="F275" s="141"/>
      <c r="G275" s="50"/>
      <c r="H275" s="50"/>
      <c r="I275" s="7"/>
    </row>
    <row r="276" ht="15.75" customHeight="1">
      <c r="A276" s="141"/>
      <c r="B276" s="141"/>
      <c r="C276" s="141"/>
      <c r="D276" s="142"/>
      <c r="E276" s="141"/>
      <c r="F276" s="141"/>
      <c r="G276" s="50"/>
      <c r="H276" s="50"/>
      <c r="I276" s="7"/>
    </row>
    <row r="277" ht="15.75" customHeight="1">
      <c r="A277" s="141"/>
      <c r="B277" s="141"/>
      <c r="C277" s="141"/>
      <c r="D277" s="142"/>
      <c r="E277" s="141"/>
      <c r="F277" s="141"/>
      <c r="G277" s="50"/>
      <c r="H277" s="50"/>
      <c r="I277" s="7"/>
    </row>
    <row r="278" ht="15.75" customHeight="1">
      <c r="A278" s="141"/>
      <c r="B278" s="141"/>
      <c r="C278" s="141"/>
      <c r="D278" s="142"/>
      <c r="E278" s="141"/>
      <c r="F278" s="141"/>
      <c r="G278" s="50"/>
      <c r="H278" s="50"/>
      <c r="I278" s="7"/>
    </row>
    <row r="279" ht="15.75" customHeight="1">
      <c r="A279" s="141"/>
      <c r="B279" s="141"/>
      <c r="C279" s="141"/>
      <c r="D279" s="142"/>
      <c r="E279" s="141"/>
      <c r="F279" s="141"/>
      <c r="G279" s="50"/>
      <c r="H279" s="50"/>
      <c r="I279" s="7"/>
    </row>
    <row r="280" ht="15.75" customHeight="1">
      <c r="A280" s="141"/>
      <c r="B280" s="141"/>
      <c r="C280" s="141"/>
      <c r="D280" s="142"/>
      <c r="E280" s="141"/>
      <c r="F280" s="141"/>
      <c r="G280" s="50"/>
      <c r="H280" s="50"/>
      <c r="I280" s="7"/>
    </row>
    <row r="281" ht="15.75" customHeight="1">
      <c r="A281" s="141"/>
      <c r="B281" s="141"/>
      <c r="C281" s="141"/>
      <c r="D281" s="142"/>
      <c r="E281" s="141"/>
      <c r="F281" s="141"/>
      <c r="G281" s="50"/>
      <c r="H281" s="50"/>
      <c r="I281" s="7"/>
    </row>
    <row r="282" ht="15.75" customHeight="1">
      <c r="A282" s="141"/>
      <c r="B282" s="141"/>
      <c r="C282" s="141"/>
      <c r="D282" s="142"/>
      <c r="E282" s="141"/>
      <c r="F282" s="141"/>
      <c r="G282" s="50"/>
      <c r="H282" s="50"/>
      <c r="I282" s="7"/>
    </row>
    <row r="283" ht="15.75" customHeight="1">
      <c r="A283" s="141"/>
      <c r="B283" s="141"/>
      <c r="C283" s="141"/>
      <c r="D283" s="142"/>
      <c r="E283" s="141"/>
      <c r="F283" s="141"/>
      <c r="G283" s="50"/>
      <c r="H283" s="50"/>
      <c r="I283" s="7"/>
    </row>
    <row r="284" ht="15.75" customHeight="1">
      <c r="A284" s="141"/>
      <c r="B284" s="141"/>
      <c r="C284" s="141"/>
      <c r="D284" s="142"/>
      <c r="E284" s="141"/>
      <c r="F284" s="141"/>
      <c r="G284" s="50"/>
      <c r="H284" s="50"/>
      <c r="I284" s="7"/>
    </row>
    <row r="285" ht="15.75" customHeight="1">
      <c r="A285" s="141"/>
      <c r="B285" s="141"/>
      <c r="C285" s="141"/>
      <c r="D285" s="142"/>
      <c r="E285" s="141"/>
      <c r="F285" s="141"/>
      <c r="G285" s="50"/>
      <c r="H285" s="50"/>
      <c r="I285" s="7"/>
    </row>
    <row r="286" ht="15.75" customHeight="1">
      <c r="A286" s="141"/>
      <c r="B286" s="141"/>
      <c r="C286" s="141"/>
      <c r="D286" s="142"/>
      <c r="E286" s="141"/>
      <c r="F286" s="141"/>
      <c r="G286" s="50"/>
      <c r="H286" s="50"/>
      <c r="I286" s="7"/>
    </row>
    <row r="287" ht="15.75" customHeight="1">
      <c r="A287" s="141"/>
      <c r="B287" s="141"/>
      <c r="C287" s="141"/>
      <c r="D287" s="142"/>
      <c r="E287" s="141"/>
      <c r="F287" s="141"/>
      <c r="G287" s="50"/>
      <c r="H287" s="50"/>
      <c r="I287" s="7"/>
    </row>
    <row r="288" ht="15.75" customHeight="1">
      <c r="A288" s="141"/>
      <c r="B288" s="141"/>
      <c r="C288" s="141"/>
      <c r="D288" s="142"/>
      <c r="E288" s="141"/>
      <c r="F288" s="141"/>
      <c r="G288" s="50"/>
      <c r="H288" s="50"/>
      <c r="I288" s="7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autoFilter ref="$A$5:$Z$86"/>
  <mergeCells count="1">
    <mergeCell ref="B1:H4"/>
  </mergeCells>
  <conditionalFormatting sqref="F6:F90">
    <cfRule type="containsText" dxfId="0" priority="1" operator="containsText" text="PENDIENTE">
      <formula>NOT(ISERROR(SEARCH(("PENDIENTE"),(F6))))</formula>
    </cfRule>
  </conditionalFormatting>
  <conditionalFormatting sqref="F6:F116">
    <cfRule type="containsText" dxfId="1" priority="2" operator="containsText" text="CANCELADO">
      <formula>NOT(ISERROR(SEARCH(("CANCELADO"),(F6))))</formula>
    </cfRule>
  </conditionalFormatting>
  <printOptions/>
  <pageMargins bottom="0.75" footer="0.0" header="0.0" left="0.7" right="0.7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hidden="1" min="1" max="1" width="12.71"/>
    <col customWidth="1" min="2" max="2" width="14.57"/>
    <col customWidth="1" min="3" max="3" width="19.43"/>
    <col customWidth="1" min="4" max="4" width="21.71"/>
    <col customWidth="1" min="5" max="5" width="15.43"/>
    <col customWidth="1" min="6" max="6" width="13.86"/>
    <col customWidth="1" min="7" max="7" width="14.0"/>
    <col customWidth="1" min="8" max="8" width="46.0"/>
    <col customWidth="1" min="9" max="9" width="17.14"/>
  </cols>
  <sheetData>
    <row r="1" ht="15.0" customHeight="1">
      <c r="A1" s="1"/>
      <c r="B1" s="3" t="s">
        <v>1</v>
      </c>
      <c r="C1" s="5"/>
      <c r="D1" s="5"/>
      <c r="E1" s="5"/>
      <c r="F1" s="5"/>
      <c r="G1" s="5"/>
      <c r="H1" s="6"/>
      <c r="I1" s="7"/>
    </row>
    <row r="2" ht="15.0" customHeight="1">
      <c r="A2" s="1"/>
      <c r="B2" s="9"/>
      <c r="H2" s="13"/>
      <c r="I2" s="7"/>
    </row>
    <row r="3" ht="15.0" customHeight="1">
      <c r="A3" s="14"/>
      <c r="B3" s="9"/>
      <c r="H3" s="13"/>
      <c r="I3" s="7"/>
    </row>
    <row r="4" ht="15.0" customHeight="1">
      <c r="A4" s="16"/>
      <c r="B4" s="15"/>
      <c r="C4" s="17"/>
      <c r="D4" s="17"/>
      <c r="E4" s="17"/>
      <c r="F4" s="17"/>
      <c r="G4" s="17"/>
      <c r="H4" s="19"/>
      <c r="I4" s="7"/>
    </row>
    <row r="5">
      <c r="A5" s="21" t="s">
        <v>4</v>
      </c>
      <c r="B5" s="23" t="s">
        <v>6</v>
      </c>
      <c r="C5" s="25" t="s">
        <v>8</v>
      </c>
      <c r="D5" s="28" t="s">
        <v>14</v>
      </c>
      <c r="E5" s="30" t="s">
        <v>16</v>
      </c>
      <c r="F5" s="31" t="s">
        <v>21</v>
      </c>
      <c r="G5" s="28" t="s">
        <v>23</v>
      </c>
      <c r="H5" s="34" t="s">
        <v>24</v>
      </c>
      <c r="I5" s="7"/>
    </row>
    <row r="6" ht="15.0" customHeight="1">
      <c r="A6" s="38"/>
      <c r="B6" s="52"/>
      <c r="C6" s="73"/>
      <c r="D6" s="77"/>
      <c r="E6" s="82"/>
      <c r="F6" s="84"/>
      <c r="G6" s="77"/>
      <c r="H6" s="85"/>
      <c r="I6" s="7"/>
    </row>
    <row r="7" ht="16.5" customHeight="1">
      <c r="A7" s="89"/>
      <c r="B7" s="91">
        <v>1041.0</v>
      </c>
      <c r="C7" s="94" t="s">
        <v>42</v>
      </c>
      <c r="D7" s="97" t="s">
        <v>43</v>
      </c>
      <c r="E7" s="100">
        <v>326.0</v>
      </c>
      <c r="F7" s="103" t="s">
        <v>33</v>
      </c>
      <c r="G7" s="104">
        <v>46125.0</v>
      </c>
      <c r="H7" s="105" t="s">
        <v>45</v>
      </c>
      <c r="I7" s="106"/>
    </row>
    <row r="8" ht="16.5" customHeight="1">
      <c r="A8" s="89"/>
      <c r="B8" s="91">
        <v>1041.0</v>
      </c>
      <c r="C8" s="94" t="s">
        <v>42</v>
      </c>
      <c r="D8" s="97" t="s">
        <v>47</v>
      </c>
      <c r="E8" s="100">
        <v>5210.0</v>
      </c>
      <c r="F8" s="103" t="s">
        <v>33</v>
      </c>
      <c r="G8" s="107">
        <v>46125.0</v>
      </c>
      <c r="H8" s="105" t="s">
        <v>45</v>
      </c>
      <c r="I8" s="106"/>
    </row>
    <row r="9" ht="16.5" customHeight="1">
      <c r="A9" s="89"/>
      <c r="B9" s="91">
        <v>1041.0</v>
      </c>
      <c r="C9" s="94" t="s">
        <v>42</v>
      </c>
      <c r="D9" s="97" t="s">
        <v>48</v>
      </c>
      <c r="E9" s="100">
        <v>1968.0</v>
      </c>
      <c r="F9" s="103" t="s">
        <v>33</v>
      </c>
      <c r="G9" s="107">
        <v>46125.0</v>
      </c>
      <c r="H9" s="105" t="s">
        <v>45</v>
      </c>
      <c r="I9" s="106"/>
    </row>
    <row r="10" ht="16.5" customHeight="1">
      <c r="A10" s="89"/>
      <c r="B10" s="105">
        <v>3038.0</v>
      </c>
      <c r="C10" s="105" t="s">
        <v>49</v>
      </c>
      <c r="D10" s="110" t="s">
        <v>50</v>
      </c>
      <c r="E10" s="111">
        <v>1386.0</v>
      </c>
      <c r="F10" s="103" t="s">
        <v>33</v>
      </c>
      <c r="G10" s="107">
        <v>46083.0</v>
      </c>
      <c r="H10" s="105" t="s">
        <v>51</v>
      </c>
      <c r="I10" s="106"/>
    </row>
    <row r="11" ht="16.5" customHeight="1">
      <c r="A11" s="112"/>
      <c r="B11" s="114">
        <v>5210.0</v>
      </c>
      <c r="C11" s="114" t="s">
        <v>53</v>
      </c>
      <c r="D11" s="110" t="s">
        <v>54</v>
      </c>
      <c r="E11" s="111">
        <v>217.0</v>
      </c>
      <c r="F11" s="103" t="s">
        <v>33</v>
      </c>
      <c r="G11" s="107">
        <v>46049.0</v>
      </c>
      <c r="H11" s="105" t="s">
        <v>51</v>
      </c>
      <c r="I11" s="108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</row>
    <row r="12" ht="16.5" customHeight="1">
      <c r="A12" s="112"/>
      <c r="B12" s="114"/>
      <c r="C12" s="114" t="s">
        <v>59</v>
      </c>
      <c r="D12" s="110" t="s">
        <v>54</v>
      </c>
      <c r="E12" s="111">
        <v>274.13</v>
      </c>
      <c r="F12" s="103" t="s">
        <v>33</v>
      </c>
      <c r="G12" s="107">
        <v>46049.0</v>
      </c>
      <c r="H12" s="105" t="s">
        <v>51</v>
      </c>
      <c r="I12" s="108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</row>
    <row r="13" ht="16.5" customHeight="1">
      <c r="A13" s="112"/>
      <c r="B13" s="114">
        <v>3031.0</v>
      </c>
      <c r="C13" s="114" t="s">
        <v>62</v>
      </c>
      <c r="D13" s="110" t="s">
        <v>54</v>
      </c>
      <c r="E13" s="120">
        <v>4601.0</v>
      </c>
      <c r="F13" s="103" t="s">
        <v>33</v>
      </c>
      <c r="G13" s="107">
        <v>46036.0</v>
      </c>
      <c r="H13" s="114" t="s">
        <v>64</v>
      </c>
      <c r="I13" s="108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</row>
    <row r="14" ht="16.5" hidden="1" customHeight="1">
      <c r="A14" s="112"/>
      <c r="B14" s="114">
        <v>3038.0</v>
      </c>
      <c r="C14" s="114" t="s">
        <v>49</v>
      </c>
      <c r="D14" s="110" t="s">
        <v>54</v>
      </c>
      <c r="E14" s="120">
        <v>1339.0</v>
      </c>
      <c r="F14" s="103" t="s">
        <v>67</v>
      </c>
      <c r="G14" s="107"/>
      <c r="H14" s="105" t="s">
        <v>68</v>
      </c>
      <c r="I14" s="108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</row>
    <row r="15" ht="16.5" customHeight="1">
      <c r="A15" s="112"/>
      <c r="B15" s="114">
        <v>3042.0</v>
      </c>
      <c r="C15" s="114" t="s">
        <v>70</v>
      </c>
      <c r="D15" s="110" t="s">
        <v>54</v>
      </c>
      <c r="E15" s="120">
        <v>80.0</v>
      </c>
      <c r="F15" s="103" t="s">
        <v>33</v>
      </c>
      <c r="G15" s="107">
        <v>46083.0</v>
      </c>
      <c r="H15" s="105" t="s">
        <v>51</v>
      </c>
      <c r="I15" s="108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</row>
    <row r="16" ht="16.5" customHeight="1">
      <c r="A16" s="112"/>
      <c r="B16" s="114">
        <v>5210.0</v>
      </c>
      <c r="C16" s="114" t="s">
        <v>53</v>
      </c>
      <c r="D16" s="110" t="s">
        <v>75</v>
      </c>
      <c r="E16" s="111">
        <v>215.0</v>
      </c>
      <c r="F16" s="103" t="s">
        <v>33</v>
      </c>
      <c r="G16" s="107">
        <v>46062.0</v>
      </c>
      <c r="H16" s="105" t="s">
        <v>51</v>
      </c>
      <c r="I16" s="108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</row>
    <row r="17" ht="16.5" customHeight="1">
      <c r="A17" s="112"/>
      <c r="B17" s="114"/>
      <c r="C17" s="114" t="s">
        <v>59</v>
      </c>
      <c r="D17" s="110" t="s">
        <v>75</v>
      </c>
      <c r="E17" s="111">
        <v>269.81</v>
      </c>
      <c r="F17" s="103" t="s">
        <v>33</v>
      </c>
      <c r="G17" s="107">
        <v>46083.0</v>
      </c>
      <c r="H17" s="105" t="s">
        <v>51</v>
      </c>
      <c r="I17" s="108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</row>
    <row r="18" ht="16.5" customHeight="1">
      <c r="A18" s="112"/>
      <c r="B18" s="114">
        <v>3031.0</v>
      </c>
      <c r="C18" s="114" t="s">
        <v>62</v>
      </c>
      <c r="D18" s="110" t="s">
        <v>75</v>
      </c>
      <c r="E18" s="111">
        <v>3254.0</v>
      </c>
      <c r="F18" s="103" t="s">
        <v>33</v>
      </c>
      <c r="G18" s="107">
        <v>46062.0</v>
      </c>
      <c r="H18" s="105" t="s">
        <v>51</v>
      </c>
      <c r="I18" s="108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</row>
    <row r="19" ht="16.5" customHeight="1">
      <c r="A19" s="112"/>
      <c r="B19" s="114">
        <v>3042.0</v>
      </c>
      <c r="C19" s="114" t="s">
        <v>70</v>
      </c>
      <c r="D19" s="110" t="s">
        <v>75</v>
      </c>
      <c r="E19" s="120">
        <v>80.0</v>
      </c>
      <c r="F19" s="103" t="s">
        <v>33</v>
      </c>
      <c r="G19" s="107">
        <v>46083.0</v>
      </c>
      <c r="H19" s="105" t="s">
        <v>51</v>
      </c>
      <c r="I19" s="108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</row>
    <row r="20" ht="16.5" customHeight="1">
      <c r="A20" s="112"/>
      <c r="B20" s="105">
        <v>8052.0</v>
      </c>
      <c r="C20" s="105"/>
      <c r="D20" s="110" t="s">
        <v>75</v>
      </c>
      <c r="E20" s="111">
        <v>13.0</v>
      </c>
      <c r="F20" s="103" t="s">
        <v>33</v>
      </c>
      <c r="G20" s="129">
        <v>46076.0</v>
      </c>
      <c r="H20" s="105" t="s">
        <v>45</v>
      </c>
      <c r="I20" s="108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</row>
    <row r="21" ht="16.5" customHeight="1">
      <c r="A21" s="112"/>
      <c r="B21" s="105">
        <v>5210.0</v>
      </c>
      <c r="C21" s="105" t="s">
        <v>53</v>
      </c>
      <c r="D21" s="110" t="s">
        <v>83</v>
      </c>
      <c r="E21" s="111">
        <v>214.0</v>
      </c>
      <c r="F21" s="130" t="s">
        <v>33</v>
      </c>
      <c r="G21" s="131">
        <v>46111.0</v>
      </c>
      <c r="H21" s="105" t="s">
        <v>51</v>
      </c>
      <c r="I21" s="108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</row>
    <row r="22" ht="16.5" customHeight="1">
      <c r="A22" s="89"/>
      <c r="B22" s="114">
        <v>3031.0</v>
      </c>
      <c r="C22" s="114" t="s">
        <v>62</v>
      </c>
      <c r="D22" s="110" t="s">
        <v>83</v>
      </c>
      <c r="E22" s="111">
        <v>2482.0</v>
      </c>
      <c r="F22" s="130" t="s">
        <v>33</v>
      </c>
      <c r="G22" s="131">
        <v>46111.0</v>
      </c>
      <c r="H22" s="105" t="s">
        <v>51</v>
      </c>
      <c r="I22" s="106"/>
    </row>
    <row r="23" ht="16.5" customHeight="1">
      <c r="A23" s="89"/>
      <c r="B23" s="114"/>
      <c r="C23" s="114" t="s">
        <v>59</v>
      </c>
      <c r="D23" s="110" t="s">
        <v>83</v>
      </c>
      <c r="E23" s="111">
        <v>277.63</v>
      </c>
      <c r="F23" s="130" t="s">
        <v>33</v>
      </c>
      <c r="G23" s="131">
        <v>46155.0</v>
      </c>
      <c r="H23" s="105" t="s">
        <v>51</v>
      </c>
      <c r="I23" s="106"/>
    </row>
    <row r="24" ht="16.5" customHeight="1">
      <c r="A24" s="89"/>
      <c r="B24" s="105">
        <v>3031.0</v>
      </c>
      <c r="C24" s="105" t="s">
        <v>62</v>
      </c>
      <c r="D24" s="110" t="s">
        <v>86</v>
      </c>
      <c r="E24" s="111">
        <v>2385.0</v>
      </c>
      <c r="F24" s="130" t="s">
        <v>33</v>
      </c>
      <c r="G24" s="131">
        <v>46119.0</v>
      </c>
      <c r="H24" s="105" t="s">
        <v>51</v>
      </c>
      <c r="I24" s="106"/>
    </row>
    <row r="25" ht="16.5" customHeight="1">
      <c r="A25" s="89"/>
      <c r="B25" s="105">
        <v>5210.0</v>
      </c>
      <c r="C25" s="105" t="s">
        <v>53</v>
      </c>
      <c r="D25" s="110" t="s">
        <v>86</v>
      </c>
      <c r="E25" s="111">
        <v>215.0</v>
      </c>
      <c r="F25" s="130" t="s">
        <v>33</v>
      </c>
      <c r="G25" s="131">
        <v>46119.0</v>
      </c>
      <c r="H25" s="105" t="s">
        <v>51</v>
      </c>
      <c r="I25" s="106"/>
    </row>
    <row r="26" ht="16.5" customHeight="1">
      <c r="A26" s="89"/>
      <c r="B26" s="105"/>
      <c r="C26" s="105" t="s">
        <v>59</v>
      </c>
      <c r="D26" s="110" t="s">
        <v>86</v>
      </c>
      <c r="E26" s="111">
        <v>275.21</v>
      </c>
      <c r="F26" s="130" t="s">
        <v>33</v>
      </c>
      <c r="G26" s="131">
        <v>46155.0</v>
      </c>
      <c r="H26" s="105" t="s">
        <v>51</v>
      </c>
      <c r="I26" s="106"/>
    </row>
    <row r="27" ht="16.5" customHeight="1">
      <c r="A27" s="89"/>
      <c r="B27" s="105">
        <v>1011.0</v>
      </c>
      <c r="C27" s="105" t="s">
        <v>42</v>
      </c>
      <c r="D27" s="110" t="s">
        <v>86</v>
      </c>
      <c r="E27" s="111">
        <v>1190.0</v>
      </c>
      <c r="F27" s="130" t="s">
        <v>33</v>
      </c>
      <c r="G27" s="131">
        <v>46214.0</v>
      </c>
      <c r="H27" s="105" t="s">
        <v>51</v>
      </c>
      <c r="I27" s="106"/>
    </row>
    <row r="28" ht="16.5" customHeight="1">
      <c r="A28" s="89"/>
      <c r="B28" s="105">
        <v>3121.0</v>
      </c>
      <c r="C28" s="105" t="s">
        <v>62</v>
      </c>
      <c r="D28" s="110" t="s">
        <v>89</v>
      </c>
      <c r="E28" s="111">
        <v>3838.0</v>
      </c>
      <c r="F28" s="130" t="s">
        <v>33</v>
      </c>
      <c r="G28" s="131">
        <v>46155.0</v>
      </c>
      <c r="H28" s="105" t="s">
        <v>51</v>
      </c>
      <c r="I28" s="106"/>
    </row>
    <row r="29" ht="16.5" customHeight="1">
      <c r="A29" s="89"/>
      <c r="B29" s="105">
        <v>5210.0</v>
      </c>
      <c r="C29" s="105" t="s">
        <v>53</v>
      </c>
      <c r="D29" s="110" t="s">
        <v>89</v>
      </c>
      <c r="E29" s="111">
        <v>215.0</v>
      </c>
      <c r="F29" s="130" t="s">
        <v>33</v>
      </c>
      <c r="G29" s="131">
        <v>46155.0</v>
      </c>
      <c r="H29" s="105" t="s">
        <v>51</v>
      </c>
      <c r="I29" s="106"/>
    </row>
    <row r="30" ht="16.5" customHeight="1">
      <c r="A30" s="89"/>
      <c r="B30" s="105">
        <v>3038.0</v>
      </c>
      <c r="C30" s="105" t="s">
        <v>49</v>
      </c>
      <c r="D30" s="110" t="s">
        <v>89</v>
      </c>
      <c r="E30" s="111">
        <v>1350.0</v>
      </c>
      <c r="F30" s="130" t="s">
        <v>33</v>
      </c>
      <c r="G30" s="131">
        <v>46174.0</v>
      </c>
      <c r="H30" s="105" t="s">
        <v>51</v>
      </c>
      <c r="I30" s="106"/>
    </row>
    <row r="31" ht="16.5" customHeight="1">
      <c r="A31" s="89"/>
      <c r="B31" s="105"/>
      <c r="C31" s="105" t="s">
        <v>59</v>
      </c>
      <c r="D31" s="110" t="s">
        <v>89</v>
      </c>
      <c r="E31" s="111">
        <v>279.52</v>
      </c>
      <c r="F31" s="130" t="s">
        <v>33</v>
      </c>
      <c r="G31" s="131">
        <v>46240.0</v>
      </c>
      <c r="H31" s="105" t="s">
        <v>51</v>
      </c>
      <c r="I31" s="106"/>
    </row>
    <row r="32" ht="16.5" customHeight="1">
      <c r="A32" s="89"/>
      <c r="B32" s="105">
        <v>3121.0</v>
      </c>
      <c r="C32" s="105" t="s">
        <v>62</v>
      </c>
      <c r="D32" s="110" t="s">
        <v>92</v>
      </c>
      <c r="E32" s="111">
        <f>909+1196</f>
        <v>2105</v>
      </c>
      <c r="F32" s="130" t="s">
        <v>33</v>
      </c>
      <c r="G32" s="131">
        <v>46177.0</v>
      </c>
      <c r="H32" s="105" t="s">
        <v>93</v>
      </c>
      <c r="I32" s="106"/>
    </row>
    <row r="33" ht="16.5" customHeight="1">
      <c r="A33" s="89"/>
      <c r="B33" s="105">
        <v>5210.0</v>
      </c>
      <c r="C33" s="105" t="s">
        <v>53</v>
      </c>
      <c r="D33" s="110" t="s">
        <v>92</v>
      </c>
      <c r="E33" s="111">
        <v>215.0</v>
      </c>
      <c r="F33" s="130" t="s">
        <v>33</v>
      </c>
      <c r="G33" s="131">
        <v>46177.0</v>
      </c>
      <c r="H33" s="105" t="s">
        <v>51</v>
      </c>
      <c r="I33" s="106"/>
    </row>
    <row r="34" ht="16.5" customHeight="1">
      <c r="A34" s="89"/>
      <c r="B34" s="105">
        <v>3038.0</v>
      </c>
      <c r="C34" s="105" t="s">
        <v>49</v>
      </c>
      <c r="D34" s="110" t="s">
        <v>92</v>
      </c>
      <c r="E34" s="111">
        <v>1340.0</v>
      </c>
      <c r="F34" s="130" t="s">
        <v>33</v>
      </c>
      <c r="G34" s="131">
        <v>46182.0</v>
      </c>
      <c r="H34" s="105" t="s">
        <v>51</v>
      </c>
      <c r="I34" s="106"/>
    </row>
    <row r="35" ht="16.5" customHeight="1">
      <c r="A35" s="89"/>
      <c r="B35" s="105"/>
      <c r="C35" s="105" t="s">
        <v>59</v>
      </c>
      <c r="D35" s="110" t="s">
        <v>92</v>
      </c>
      <c r="E35" s="111">
        <v>268.3</v>
      </c>
      <c r="F35" s="130" t="s">
        <v>33</v>
      </c>
      <c r="G35" s="131">
        <v>46240.0</v>
      </c>
      <c r="H35" s="105" t="s">
        <v>51</v>
      </c>
      <c r="I35" s="106"/>
    </row>
    <row r="36" ht="16.5" customHeight="1">
      <c r="A36" s="89"/>
      <c r="B36" s="105">
        <v>3121.0</v>
      </c>
      <c r="C36" s="105" t="s">
        <v>62</v>
      </c>
      <c r="D36" s="110" t="s">
        <v>94</v>
      </c>
      <c r="E36" s="111">
        <v>1905.0</v>
      </c>
      <c r="F36" s="130" t="s">
        <v>33</v>
      </c>
      <c r="G36" s="131">
        <v>46213.0</v>
      </c>
      <c r="H36" s="105" t="s">
        <v>51</v>
      </c>
      <c r="I36" s="106"/>
    </row>
    <row r="37" ht="16.5" customHeight="1">
      <c r="A37" s="89"/>
      <c r="B37" s="105">
        <v>5210.0</v>
      </c>
      <c r="C37" s="105" t="s">
        <v>53</v>
      </c>
      <c r="D37" s="110" t="s">
        <v>94</v>
      </c>
      <c r="E37" s="111">
        <v>215.0</v>
      </c>
      <c r="F37" s="130" t="s">
        <v>33</v>
      </c>
      <c r="G37" s="131">
        <v>46213.0</v>
      </c>
      <c r="H37" s="105" t="s">
        <v>51</v>
      </c>
      <c r="I37" s="106"/>
    </row>
    <row r="38" ht="16.5" customHeight="1">
      <c r="A38" s="89"/>
      <c r="B38" s="105">
        <v>3038.0</v>
      </c>
      <c r="C38" s="105" t="s">
        <v>49</v>
      </c>
      <c r="D38" s="110" t="s">
        <v>94</v>
      </c>
      <c r="E38" s="111">
        <v>1350.0</v>
      </c>
      <c r="F38" s="130" t="s">
        <v>33</v>
      </c>
      <c r="G38" s="131">
        <v>46237.0</v>
      </c>
      <c r="H38" s="105" t="s">
        <v>51</v>
      </c>
      <c r="I38" s="106"/>
    </row>
    <row r="39" ht="16.5" customHeight="1">
      <c r="A39" s="89"/>
      <c r="B39" s="105"/>
      <c r="C39" s="105" t="s">
        <v>59</v>
      </c>
      <c r="D39" s="110" t="s">
        <v>94</v>
      </c>
      <c r="E39" s="111">
        <v>274.94</v>
      </c>
      <c r="F39" s="130" t="s">
        <v>33</v>
      </c>
      <c r="G39" s="131">
        <v>46240.0</v>
      </c>
      <c r="H39" s="105" t="s">
        <v>51</v>
      </c>
      <c r="I39" s="106"/>
    </row>
    <row r="40" ht="16.5" customHeight="1">
      <c r="A40" s="89"/>
      <c r="B40" s="105">
        <v>3121.0</v>
      </c>
      <c r="C40" s="105" t="s">
        <v>62</v>
      </c>
      <c r="D40" s="110" t="s">
        <v>96</v>
      </c>
      <c r="E40" s="111">
        <v>1834.0</v>
      </c>
      <c r="F40" s="130" t="s">
        <v>33</v>
      </c>
      <c r="G40" s="131">
        <v>46237.0</v>
      </c>
      <c r="H40" s="105" t="s">
        <v>51</v>
      </c>
      <c r="I40" s="106"/>
    </row>
    <row r="41" ht="16.5" customHeight="1">
      <c r="A41" s="89"/>
      <c r="B41" s="105">
        <v>5210.0</v>
      </c>
      <c r="C41" s="105" t="s">
        <v>53</v>
      </c>
      <c r="D41" s="110" t="s">
        <v>96</v>
      </c>
      <c r="E41" s="111">
        <v>214.0</v>
      </c>
      <c r="F41" s="130" t="s">
        <v>33</v>
      </c>
      <c r="G41" s="131">
        <v>46240.0</v>
      </c>
      <c r="H41" s="105" t="s">
        <v>51</v>
      </c>
      <c r="I41" s="106"/>
    </row>
    <row r="42" ht="16.5" customHeight="1">
      <c r="A42" s="89"/>
      <c r="B42" s="105">
        <v>3038.0</v>
      </c>
      <c r="C42" s="105" t="s">
        <v>49</v>
      </c>
      <c r="D42" s="110" t="s">
        <v>96</v>
      </c>
      <c r="E42" s="111">
        <v>1338.0</v>
      </c>
      <c r="F42" s="130" t="s">
        <v>33</v>
      </c>
      <c r="G42" s="131">
        <v>46240.0</v>
      </c>
      <c r="H42" s="105" t="s">
        <v>51</v>
      </c>
      <c r="I42" s="106"/>
    </row>
    <row r="43" ht="16.5" customHeight="1">
      <c r="A43" s="89"/>
      <c r="B43" s="105"/>
      <c r="C43" s="105" t="s">
        <v>59</v>
      </c>
      <c r="D43" s="110" t="s">
        <v>96</v>
      </c>
      <c r="E43" s="111">
        <v>270.08</v>
      </c>
      <c r="F43" s="130" t="s">
        <v>67</v>
      </c>
      <c r="G43" s="131"/>
      <c r="H43" s="149"/>
      <c r="I43" s="106"/>
    </row>
    <row r="44" ht="16.5" customHeight="1">
      <c r="A44" s="10"/>
      <c r="B44" s="105">
        <v>3121.0</v>
      </c>
      <c r="C44" s="105" t="s">
        <v>62</v>
      </c>
      <c r="D44" s="110" t="s">
        <v>100</v>
      </c>
      <c r="E44" s="111"/>
      <c r="F44" s="130"/>
      <c r="G44" s="129"/>
      <c r="H44" s="149"/>
      <c r="I44" s="106"/>
    </row>
    <row r="45" ht="16.5" customHeight="1">
      <c r="A45" s="10"/>
      <c r="B45" s="105">
        <v>5210.0</v>
      </c>
      <c r="C45" s="105" t="s">
        <v>53</v>
      </c>
      <c r="D45" s="110" t="s">
        <v>100</v>
      </c>
      <c r="E45" s="111"/>
      <c r="F45" s="130"/>
      <c r="G45" s="129"/>
      <c r="H45" s="149"/>
      <c r="I45" s="106"/>
    </row>
    <row r="46" ht="16.5" customHeight="1">
      <c r="A46" s="10"/>
      <c r="B46" s="105">
        <v>3038.0</v>
      </c>
      <c r="C46" s="105" t="s">
        <v>49</v>
      </c>
      <c r="D46" s="110" t="s">
        <v>100</v>
      </c>
      <c r="E46" s="111"/>
      <c r="F46" s="130"/>
      <c r="G46" s="129"/>
      <c r="H46" s="149"/>
      <c r="I46" s="106"/>
    </row>
    <row r="47" ht="16.5" customHeight="1">
      <c r="A47" s="10"/>
      <c r="B47" s="105"/>
      <c r="C47" s="105" t="s">
        <v>59</v>
      </c>
      <c r="D47" s="110" t="s">
        <v>100</v>
      </c>
      <c r="E47" s="111"/>
      <c r="F47" s="130"/>
      <c r="G47" s="129"/>
      <c r="H47" s="149"/>
      <c r="I47" s="106"/>
    </row>
    <row r="48" ht="16.5" customHeight="1">
      <c r="A48" s="10"/>
      <c r="B48" s="105"/>
      <c r="C48" s="105"/>
      <c r="D48" s="151"/>
      <c r="E48" s="111"/>
      <c r="F48" s="130"/>
      <c r="G48" s="129"/>
      <c r="H48" s="149"/>
      <c r="I48" s="106"/>
    </row>
    <row r="49" ht="16.5" customHeight="1">
      <c r="A49" s="10"/>
      <c r="B49" s="105"/>
      <c r="C49" s="105"/>
      <c r="D49" s="151"/>
      <c r="E49" s="111"/>
      <c r="F49" s="130"/>
      <c r="G49" s="129"/>
      <c r="H49" s="149"/>
      <c r="I49" s="106"/>
    </row>
    <row r="50" ht="15.75" customHeight="1">
      <c r="A50" s="10"/>
      <c r="B50" s="105"/>
      <c r="C50" s="105"/>
      <c r="D50" s="151"/>
      <c r="E50" s="111"/>
      <c r="F50" s="130"/>
      <c r="G50" s="129"/>
      <c r="H50" s="149"/>
      <c r="I50" s="106"/>
    </row>
    <row r="51" ht="15.75" customHeight="1">
      <c r="A51" s="10"/>
      <c r="B51" s="105"/>
      <c r="C51" s="105"/>
      <c r="D51" s="151"/>
      <c r="E51" s="111"/>
      <c r="F51" s="130"/>
      <c r="G51" s="131"/>
      <c r="H51" s="149"/>
      <c r="I51" s="7"/>
    </row>
    <row r="52" ht="15.75" customHeight="1">
      <c r="A52" s="10"/>
      <c r="B52" s="7"/>
      <c r="C52" s="7"/>
      <c r="D52" s="7"/>
      <c r="E52" s="153"/>
      <c r="F52" s="7"/>
      <c r="G52" s="154"/>
      <c r="H52" s="7"/>
      <c r="I52" s="7"/>
    </row>
    <row r="53" ht="15.75" customHeight="1">
      <c r="A53" s="10"/>
      <c r="B53" s="7"/>
      <c r="C53" s="7"/>
      <c r="D53" s="7"/>
      <c r="E53" s="153"/>
      <c r="F53" s="7"/>
      <c r="G53" s="154"/>
      <c r="H53" s="7"/>
      <c r="I53" s="7"/>
    </row>
    <row r="54" ht="15.75" customHeight="1">
      <c r="A54" s="10"/>
      <c r="B54" s="7"/>
      <c r="C54" s="7"/>
      <c r="D54" s="7"/>
      <c r="E54" s="153"/>
      <c r="F54" s="7"/>
      <c r="G54" s="154"/>
      <c r="H54" s="7"/>
      <c r="I54" s="7"/>
    </row>
    <row r="55" ht="15.75" customHeight="1">
      <c r="A55" s="10"/>
      <c r="B55" s="7"/>
      <c r="C55" s="7"/>
      <c r="D55" s="7"/>
      <c r="E55" s="153"/>
      <c r="F55" s="7"/>
      <c r="G55" s="154"/>
      <c r="H55" s="7"/>
      <c r="I55" s="7"/>
    </row>
    <row r="56" ht="15.75" customHeight="1">
      <c r="A56" s="10"/>
      <c r="B56" s="7"/>
      <c r="C56" s="7"/>
      <c r="D56" s="7"/>
      <c r="E56" s="153"/>
      <c r="F56" s="7"/>
      <c r="G56" s="154"/>
      <c r="H56" s="7"/>
      <c r="I56" s="7"/>
    </row>
    <row r="57" ht="15.75" customHeight="1">
      <c r="A57" s="10"/>
      <c r="B57" s="7"/>
      <c r="C57" s="7"/>
      <c r="D57" s="7"/>
      <c r="E57" s="153"/>
      <c r="F57" s="7"/>
      <c r="G57" s="154"/>
      <c r="H57" s="7"/>
      <c r="I57" s="7"/>
    </row>
    <row r="58" ht="15.75" customHeight="1">
      <c r="A58" s="10"/>
      <c r="B58" s="7"/>
      <c r="C58" s="7"/>
      <c r="D58" s="7"/>
      <c r="E58" s="153"/>
      <c r="F58" s="7"/>
      <c r="G58" s="154"/>
      <c r="H58" s="7"/>
      <c r="I58" s="7"/>
    </row>
    <row r="59" ht="15.75" customHeight="1">
      <c r="A59" s="10"/>
      <c r="B59" s="7"/>
      <c r="C59" s="7"/>
      <c r="D59" s="7"/>
      <c r="E59" s="153"/>
      <c r="F59" s="7"/>
      <c r="G59" s="154"/>
      <c r="H59" s="7"/>
      <c r="I59" s="7"/>
    </row>
    <row r="60" ht="15.75" customHeight="1">
      <c r="A60" s="10"/>
      <c r="B60" s="7"/>
      <c r="C60" s="7"/>
      <c r="D60" s="7"/>
      <c r="E60" s="153"/>
      <c r="F60" s="7"/>
      <c r="G60" s="154"/>
      <c r="H60" s="7"/>
      <c r="I60" s="7"/>
    </row>
    <row r="61" ht="15.75" customHeight="1">
      <c r="A61" s="10"/>
      <c r="B61" s="7"/>
      <c r="C61" s="7"/>
      <c r="D61" s="7"/>
      <c r="E61" s="153"/>
      <c r="F61" s="7"/>
      <c r="G61" s="154"/>
      <c r="H61" s="7"/>
      <c r="I61" s="7"/>
    </row>
    <row r="62" ht="15.75" customHeight="1">
      <c r="A62" s="10"/>
      <c r="B62" s="7"/>
      <c r="C62" s="7"/>
      <c r="D62" s="7"/>
      <c r="E62" s="153"/>
      <c r="F62" s="7"/>
      <c r="G62" s="154"/>
      <c r="H62" s="7"/>
      <c r="I62" s="7"/>
    </row>
    <row r="63" ht="15.75" customHeight="1">
      <c r="A63" s="10"/>
      <c r="B63" s="7"/>
      <c r="C63" s="7"/>
      <c r="D63" s="7"/>
      <c r="E63" s="153"/>
      <c r="F63" s="7"/>
      <c r="G63" s="154"/>
      <c r="H63" s="7"/>
      <c r="I63" s="7"/>
    </row>
    <row r="64" ht="15.75" customHeight="1">
      <c r="A64" s="10"/>
      <c r="B64" s="7"/>
      <c r="C64" s="7"/>
      <c r="D64" s="7"/>
      <c r="E64" s="153"/>
      <c r="F64" s="7"/>
      <c r="G64" s="154"/>
      <c r="H64" s="7"/>
      <c r="I64" s="7"/>
    </row>
    <row r="65" ht="15.75" customHeight="1">
      <c r="A65" s="10"/>
      <c r="B65" s="7"/>
      <c r="C65" s="7"/>
      <c r="D65" s="7"/>
      <c r="E65" s="153"/>
      <c r="F65" s="7"/>
      <c r="G65" s="154"/>
      <c r="H65" s="7"/>
      <c r="I65" s="7"/>
    </row>
    <row r="66" ht="15.75" customHeight="1">
      <c r="A66" s="10"/>
      <c r="B66" s="7"/>
      <c r="C66" s="7"/>
      <c r="D66" s="7"/>
      <c r="E66" s="153"/>
      <c r="F66" s="7"/>
      <c r="G66" s="154"/>
      <c r="H66" s="7"/>
      <c r="I66" s="7"/>
    </row>
    <row r="67" ht="15.75" customHeight="1">
      <c r="A67" s="10"/>
      <c r="B67" s="7"/>
      <c r="C67" s="7"/>
      <c r="D67" s="7"/>
      <c r="E67" s="153"/>
      <c r="F67" s="7"/>
      <c r="G67" s="154"/>
      <c r="H67" s="7"/>
      <c r="I67" s="7"/>
    </row>
    <row r="68" ht="15.75" customHeight="1">
      <c r="A68" s="10"/>
      <c r="B68" s="7"/>
      <c r="C68" s="7"/>
      <c r="D68" s="7"/>
      <c r="E68" s="153"/>
      <c r="F68" s="7"/>
      <c r="G68" s="154"/>
      <c r="H68" s="7"/>
      <c r="I68" s="7"/>
    </row>
    <row r="69" ht="15.75" customHeight="1">
      <c r="A69" s="10"/>
      <c r="B69" s="7"/>
      <c r="C69" s="7"/>
      <c r="D69" s="7"/>
      <c r="E69" s="153"/>
      <c r="F69" s="7"/>
      <c r="G69" s="154"/>
      <c r="H69" s="7"/>
      <c r="I69" s="7"/>
    </row>
    <row r="70" ht="15.75" customHeight="1">
      <c r="A70" s="10"/>
      <c r="B70" s="7"/>
      <c r="C70" s="7"/>
      <c r="D70" s="7"/>
      <c r="E70" s="153"/>
      <c r="F70" s="7"/>
      <c r="G70" s="154"/>
      <c r="H70" s="7"/>
      <c r="I70" s="7"/>
    </row>
    <row r="71" ht="15.75" customHeight="1">
      <c r="A71" s="10"/>
      <c r="B71" s="7"/>
      <c r="C71" s="7"/>
      <c r="D71" s="7"/>
      <c r="E71" s="153"/>
      <c r="F71" s="7"/>
      <c r="G71" s="154"/>
      <c r="H71" s="7"/>
      <c r="I71" s="7"/>
    </row>
    <row r="72" ht="15.75" customHeight="1">
      <c r="A72" s="10"/>
      <c r="B72" s="7"/>
      <c r="C72" s="7"/>
      <c r="D72" s="7"/>
      <c r="E72" s="153"/>
      <c r="F72" s="7"/>
      <c r="G72" s="154"/>
      <c r="H72" s="7"/>
      <c r="I72" s="7"/>
    </row>
    <row r="73" ht="15.75" customHeight="1">
      <c r="A73" s="10"/>
      <c r="B73" s="7"/>
      <c r="C73" s="7"/>
      <c r="D73" s="7"/>
      <c r="E73" s="153"/>
      <c r="F73" s="7"/>
      <c r="G73" s="7"/>
      <c r="H73" s="7"/>
      <c r="I73" s="7"/>
    </row>
    <row r="74" ht="15.75" customHeight="1">
      <c r="A74" s="10"/>
      <c r="B74" s="7"/>
      <c r="C74" s="7"/>
      <c r="D74" s="7"/>
      <c r="E74" s="153"/>
      <c r="F74" s="7"/>
      <c r="G74" s="7"/>
      <c r="H74" s="7"/>
      <c r="I74" s="7"/>
    </row>
    <row r="75" ht="15.75" customHeight="1">
      <c r="A75" s="10"/>
      <c r="B75" s="7"/>
      <c r="C75" s="7"/>
      <c r="D75" s="7"/>
      <c r="E75" s="153"/>
      <c r="F75" s="7"/>
      <c r="G75" s="7"/>
      <c r="H75" s="7"/>
      <c r="I75" s="7"/>
    </row>
    <row r="76" ht="15.75" customHeight="1">
      <c r="A76" s="10"/>
      <c r="B76" s="7"/>
      <c r="C76" s="7"/>
      <c r="D76" s="7"/>
      <c r="E76" s="153"/>
      <c r="F76" s="7"/>
      <c r="G76" s="7"/>
      <c r="H76" s="7"/>
      <c r="I76" s="7"/>
    </row>
    <row r="77" ht="15.75" customHeight="1">
      <c r="A77" s="10"/>
      <c r="B77" s="7"/>
      <c r="C77" s="7"/>
      <c r="D77" s="7"/>
      <c r="E77" s="153"/>
      <c r="F77" s="7"/>
      <c r="G77" s="7"/>
      <c r="H77" s="7"/>
      <c r="I77" s="7"/>
    </row>
    <row r="78" ht="15.75" customHeight="1">
      <c r="A78" s="141"/>
      <c r="B78" s="156"/>
      <c r="C78" s="156"/>
      <c r="D78" s="156"/>
      <c r="E78" s="157"/>
      <c r="F78" s="156"/>
      <c r="G78" s="158"/>
      <c r="H78" s="158"/>
      <c r="I78" s="7"/>
    </row>
    <row r="79" ht="15.75" customHeight="1">
      <c r="A79" s="141"/>
      <c r="B79" s="156"/>
      <c r="C79" s="156"/>
      <c r="D79" s="156"/>
      <c r="E79" s="157"/>
      <c r="F79" s="156"/>
      <c r="G79" s="158"/>
      <c r="H79" s="158"/>
      <c r="I79" s="7"/>
    </row>
    <row r="80" ht="15.75" customHeight="1">
      <c r="A80" s="141"/>
      <c r="B80" s="156"/>
      <c r="C80" s="156"/>
      <c r="D80" s="156"/>
      <c r="E80" s="157"/>
      <c r="F80" s="156"/>
      <c r="G80" s="158"/>
      <c r="H80" s="158"/>
      <c r="I80" s="7"/>
    </row>
    <row r="81" ht="15.75" customHeight="1">
      <c r="A81" s="141"/>
      <c r="B81" s="156"/>
      <c r="C81" s="156"/>
      <c r="D81" s="156"/>
      <c r="E81" s="157"/>
      <c r="F81" s="156"/>
      <c r="G81" s="158"/>
      <c r="H81" s="158"/>
      <c r="I81" s="7"/>
    </row>
    <row r="82" ht="15.75" customHeight="1">
      <c r="A82" s="141"/>
      <c r="B82" s="156"/>
      <c r="C82" s="156"/>
      <c r="D82" s="156"/>
      <c r="E82" s="157"/>
      <c r="F82" s="156"/>
      <c r="G82" s="158"/>
      <c r="H82" s="158"/>
      <c r="I82" s="7"/>
    </row>
    <row r="83" ht="15.75" customHeight="1">
      <c r="A83" s="141"/>
      <c r="B83" s="156"/>
      <c r="C83" s="156"/>
      <c r="D83" s="156"/>
      <c r="E83" s="157"/>
      <c r="F83" s="156"/>
      <c r="G83" s="158"/>
      <c r="H83" s="158"/>
      <c r="I83" s="7"/>
    </row>
    <row r="84" ht="15.75" customHeight="1">
      <c r="A84" s="141"/>
      <c r="B84" s="156"/>
      <c r="C84" s="156"/>
      <c r="D84" s="156"/>
      <c r="E84" s="157"/>
      <c r="F84" s="156"/>
      <c r="G84" s="158"/>
      <c r="H84" s="158"/>
      <c r="I84" s="7"/>
    </row>
    <row r="85" ht="15.75" customHeight="1">
      <c r="A85" s="141"/>
      <c r="B85" s="156"/>
      <c r="C85" s="156"/>
      <c r="D85" s="156"/>
      <c r="E85" s="157"/>
      <c r="F85" s="156"/>
      <c r="G85" s="158"/>
      <c r="H85" s="158"/>
      <c r="I85" s="7"/>
    </row>
    <row r="86" ht="15.75" customHeight="1">
      <c r="A86" s="141"/>
      <c r="B86" s="156"/>
      <c r="C86" s="156"/>
      <c r="D86" s="156"/>
      <c r="E86" s="157"/>
      <c r="F86" s="156"/>
      <c r="G86" s="158"/>
      <c r="H86" s="158"/>
      <c r="I86" s="7"/>
    </row>
    <row r="87" ht="15.75" customHeight="1">
      <c r="A87" s="141"/>
      <c r="B87" s="156"/>
      <c r="C87" s="156"/>
      <c r="D87" s="156"/>
      <c r="E87" s="157"/>
      <c r="F87" s="156"/>
      <c r="G87" s="158"/>
      <c r="H87" s="158"/>
      <c r="I87" s="7"/>
    </row>
    <row r="88" ht="15.75" customHeight="1">
      <c r="A88" s="141"/>
      <c r="B88" s="156"/>
      <c r="C88" s="156"/>
      <c r="D88" s="156"/>
      <c r="E88" s="157"/>
      <c r="F88" s="156"/>
      <c r="G88" s="158"/>
      <c r="H88" s="158"/>
      <c r="I88" s="7"/>
    </row>
    <row r="89" ht="15.75" customHeight="1">
      <c r="A89" s="141"/>
      <c r="B89" s="156"/>
      <c r="C89" s="156"/>
      <c r="D89" s="156"/>
      <c r="E89" s="157"/>
      <c r="F89" s="156"/>
      <c r="G89" s="158"/>
      <c r="H89" s="158"/>
      <c r="I89" s="7"/>
    </row>
    <row r="90" ht="15.75" customHeight="1">
      <c r="A90" s="141"/>
      <c r="B90" s="156"/>
      <c r="C90" s="156"/>
      <c r="D90" s="156"/>
      <c r="E90" s="157"/>
      <c r="F90" s="156"/>
      <c r="G90" s="158"/>
      <c r="H90" s="158"/>
      <c r="I90" s="7"/>
    </row>
    <row r="91" ht="15.75" customHeight="1">
      <c r="A91" s="141"/>
      <c r="B91" s="156"/>
      <c r="C91" s="156"/>
      <c r="D91" s="156"/>
      <c r="E91" s="157"/>
      <c r="F91" s="156"/>
      <c r="G91" s="158"/>
      <c r="H91" s="158"/>
      <c r="I91" s="7"/>
    </row>
    <row r="92" ht="15.75" customHeight="1">
      <c r="A92" s="141"/>
      <c r="B92" s="156"/>
      <c r="C92" s="156"/>
      <c r="D92" s="156"/>
      <c r="E92" s="157"/>
      <c r="F92" s="156"/>
      <c r="G92" s="158"/>
      <c r="H92" s="158"/>
      <c r="I92" s="7"/>
    </row>
    <row r="93" ht="15.75" customHeight="1">
      <c r="A93" s="141"/>
      <c r="B93" s="156"/>
      <c r="C93" s="156"/>
      <c r="D93" s="156"/>
      <c r="E93" s="157"/>
      <c r="F93" s="156"/>
      <c r="G93" s="158"/>
      <c r="H93" s="158"/>
      <c r="I93" s="7"/>
    </row>
    <row r="94" ht="15.75" customHeight="1">
      <c r="A94" s="141"/>
      <c r="B94" s="156"/>
      <c r="C94" s="156"/>
      <c r="D94" s="156"/>
      <c r="E94" s="157"/>
      <c r="F94" s="156"/>
      <c r="G94" s="158"/>
      <c r="H94" s="158"/>
      <c r="I94" s="7"/>
    </row>
    <row r="95" ht="15.75" customHeight="1">
      <c r="A95" s="141"/>
      <c r="B95" s="156"/>
      <c r="C95" s="156"/>
      <c r="D95" s="156"/>
      <c r="E95" s="157"/>
      <c r="F95" s="156"/>
      <c r="G95" s="158"/>
      <c r="H95" s="158"/>
      <c r="I95" s="7"/>
    </row>
    <row r="96" ht="15.75" customHeight="1">
      <c r="A96" s="141"/>
      <c r="B96" s="156"/>
      <c r="C96" s="156"/>
      <c r="D96" s="156"/>
      <c r="E96" s="157"/>
      <c r="F96" s="156"/>
      <c r="G96" s="158"/>
      <c r="H96" s="158"/>
      <c r="I96" s="7"/>
    </row>
    <row r="97" ht="15.75" customHeight="1">
      <c r="A97" s="141"/>
      <c r="B97" s="156"/>
      <c r="C97" s="156"/>
      <c r="D97" s="156"/>
      <c r="E97" s="157"/>
      <c r="F97" s="156"/>
      <c r="G97" s="158"/>
      <c r="H97" s="158"/>
      <c r="I97" s="7"/>
    </row>
    <row r="98" ht="15.75" customHeight="1">
      <c r="A98" s="141"/>
      <c r="B98" s="156"/>
      <c r="C98" s="156"/>
      <c r="D98" s="156"/>
      <c r="E98" s="157"/>
      <c r="F98" s="156"/>
      <c r="G98" s="158"/>
      <c r="H98" s="158"/>
      <c r="I98" s="7"/>
    </row>
    <row r="99" ht="15.75" customHeight="1">
      <c r="A99" s="141"/>
      <c r="B99" s="156"/>
      <c r="C99" s="156"/>
      <c r="D99" s="156"/>
      <c r="E99" s="157"/>
      <c r="F99" s="156"/>
      <c r="G99" s="158"/>
      <c r="H99" s="158"/>
      <c r="I99" s="7"/>
    </row>
    <row r="100" ht="15.75" customHeight="1">
      <c r="A100" s="141"/>
      <c r="B100" s="156"/>
      <c r="C100" s="156"/>
      <c r="D100" s="156"/>
      <c r="E100" s="157"/>
      <c r="F100" s="156"/>
      <c r="G100" s="158"/>
      <c r="H100" s="158"/>
      <c r="I100" s="7"/>
    </row>
    <row r="101" ht="15.75" customHeight="1">
      <c r="A101" s="141"/>
      <c r="B101" s="156"/>
      <c r="C101" s="156"/>
      <c r="D101" s="156"/>
      <c r="E101" s="157"/>
      <c r="F101" s="156"/>
      <c r="G101" s="158"/>
      <c r="H101" s="158"/>
      <c r="I101" s="7"/>
    </row>
    <row r="102" ht="15.75" customHeight="1">
      <c r="A102" s="141"/>
      <c r="B102" s="156"/>
      <c r="C102" s="156"/>
      <c r="D102" s="156"/>
      <c r="E102" s="157"/>
      <c r="F102" s="156"/>
      <c r="G102" s="158"/>
      <c r="H102" s="158"/>
      <c r="I102" s="7"/>
    </row>
    <row r="103" ht="15.75" customHeight="1">
      <c r="A103" s="141"/>
      <c r="B103" s="156"/>
      <c r="C103" s="156"/>
      <c r="D103" s="156"/>
      <c r="E103" s="157"/>
      <c r="F103" s="156"/>
      <c r="G103" s="158"/>
      <c r="H103" s="158"/>
      <c r="I103" s="7"/>
    </row>
    <row r="104" ht="15.75" customHeight="1">
      <c r="A104" s="141"/>
      <c r="B104" s="156"/>
      <c r="C104" s="156"/>
      <c r="D104" s="156"/>
      <c r="E104" s="157"/>
      <c r="F104" s="156"/>
      <c r="G104" s="158"/>
      <c r="H104" s="158"/>
      <c r="I104" s="7"/>
    </row>
    <row r="105" ht="15.75" customHeight="1">
      <c r="A105" s="141"/>
      <c r="B105" s="156"/>
      <c r="C105" s="156"/>
      <c r="D105" s="156"/>
      <c r="E105" s="157"/>
      <c r="F105" s="156"/>
      <c r="G105" s="158"/>
      <c r="H105" s="158"/>
      <c r="I105" s="7"/>
    </row>
    <row r="106" ht="15.75" customHeight="1">
      <c r="A106" s="141"/>
      <c r="B106" s="156"/>
      <c r="C106" s="156"/>
      <c r="D106" s="156"/>
      <c r="E106" s="157"/>
      <c r="F106" s="156"/>
      <c r="G106" s="158"/>
      <c r="H106" s="158"/>
      <c r="I106" s="7"/>
    </row>
    <row r="107" ht="15.75" customHeight="1">
      <c r="A107" s="141"/>
      <c r="B107" s="156"/>
      <c r="C107" s="156"/>
      <c r="D107" s="156"/>
      <c r="E107" s="157"/>
      <c r="F107" s="156"/>
      <c r="G107" s="158"/>
      <c r="H107" s="158"/>
      <c r="I107" s="7"/>
    </row>
    <row r="108" ht="15.75" customHeight="1">
      <c r="A108" s="141"/>
      <c r="B108" s="156"/>
      <c r="C108" s="156"/>
      <c r="D108" s="156"/>
      <c r="E108" s="157"/>
      <c r="F108" s="156"/>
      <c r="G108" s="158"/>
      <c r="H108" s="158"/>
      <c r="I108" s="7"/>
    </row>
    <row r="109" ht="15.75" customHeight="1">
      <c r="A109" s="141"/>
      <c r="B109" s="156"/>
      <c r="C109" s="156"/>
      <c r="D109" s="156"/>
      <c r="E109" s="157"/>
      <c r="F109" s="156"/>
      <c r="G109" s="158"/>
      <c r="H109" s="158"/>
      <c r="I109" s="7"/>
    </row>
    <row r="110" ht="15.75" customHeight="1">
      <c r="A110" s="141"/>
      <c r="B110" s="156"/>
      <c r="C110" s="156"/>
      <c r="D110" s="156"/>
      <c r="E110" s="157"/>
      <c r="F110" s="156"/>
      <c r="G110" s="158"/>
      <c r="H110" s="158"/>
      <c r="I110" s="7"/>
    </row>
    <row r="111" ht="15.75" customHeight="1">
      <c r="A111" s="141"/>
      <c r="B111" s="156"/>
      <c r="C111" s="156"/>
      <c r="D111" s="156"/>
      <c r="E111" s="157"/>
      <c r="F111" s="156"/>
      <c r="G111" s="158"/>
      <c r="H111" s="158"/>
      <c r="I111" s="7"/>
    </row>
    <row r="112" ht="15.75" customHeight="1">
      <c r="A112" s="141"/>
      <c r="B112" s="156"/>
      <c r="C112" s="156"/>
      <c r="D112" s="156"/>
      <c r="E112" s="157"/>
      <c r="F112" s="156"/>
      <c r="G112" s="158"/>
      <c r="H112" s="158"/>
      <c r="I112" s="7"/>
    </row>
    <row r="113" ht="15.75" customHeight="1">
      <c r="A113" s="141"/>
      <c r="B113" s="156"/>
      <c r="C113" s="156"/>
      <c r="D113" s="156"/>
      <c r="E113" s="157"/>
      <c r="F113" s="156"/>
      <c r="G113" s="158"/>
      <c r="H113" s="158"/>
      <c r="I113" s="7"/>
    </row>
    <row r="114" ht="15.75" customHeight="1">
      <c r="A114" s="141"/>
      <c r="B114" s="156"/>
      <c r="C114" s="156"/>
      <c r="D114" s="156"/>
      <c r="E114" s="157"/>
      <c r="F114" s="156"/>
      <c r="G114" s="158"/>
      <c r="H114" s="158"/>
      <c r="I114" s="7"/>
    </row>
    <row r="115" ht="15.75" customHeight="1">
      <c r="A115" s="141"/>
      <c r="B115" s="156"/>
      <c r="C115" s="156"/>
      <c r="D115" s="156"/>
      <c r="E115" s="157"/>
      <c r="F115" s="156"/>
      <c r="G115" s="158"/>
      <c r="H115" s="158"/>
      <c r="I115" s="7"/>
    </row>
    <row r="116" ht="15.75" customHeight="1">
      <c r="A116" s="141"/>
      <c r="B116" s="156"/>
      <c r="C116" s="156"/>
      <c r="D116" s="156"/>
      <c r="E116" s="157"/>
      <c r="F116" s="156"/>
      <c r="G116" s="158"/>
      <c r="H116" s="158"/>
      <c r="I116" s="7"/>
    </row>
    <row r="117" ht="15.75" customHeight="1">
      <c r="A117" s="141"/>
      <c r="B117" s="156"/>
      <c r="C117" s="156"/>
      <c r="D117" s="156"/>
      <c r="E117" s="157"/>
      <c r="F117" s="156"/>
      <c r="G117" s="158"/>
      <c r="H117" s="158"/>
      <c r="I117" s="7"/>
    </row>
    <row r="118" ht="15.75" customHeight="1">
      <c r="A118" s="141"/>
      <c r="B118" s="156"/>
      <c r="C118" s="156"/>
      <c r="D118" s="156"/>
      <c r="E118" s="157"/>
      <c r="F118" s="156"/>
      <c r="G118" s="158"/>
      <c r="H118" s="158"/>
      <c r="I118" s="7"/>
    </row>
    <row r="119" ht="15.75" customHeight="1">
      <c r="A119" s="141"/>
      <c r="B119" s="156"/>
      <c r="C119" s="156"/>
      <c r="D119" s="156"/>
      <c r="E119" s="157"/>
      <c r="F119" s="156"/>
      <c r="G119" s="158"/>
      <c r="H119" s="158"/>
      <c r="I119" s="7"/>
    </row>
    <row r="120" ht="15.75" customHeight="1">
      <c r="A120" s="141"/>
      <c r="B120" s="156"/>
      <c r="C120" s="156"/>
      <c r="D120" s="156"/>
      <c r="E120" s="157"/>
      <c r="F120" s="156"/>
      <c r="G120" s="158"/>
      <c r="H120" s="158"/>
      <c r="I120" s="7"/>
    </row>
    <row r="121" ht="15.75" customHeight="1">
      <c r="A121" s="141"/>
      <c r="B121" s="156"/>
      <c r="C121" s="156"/>
      <c r="D121" s="156"/>
      <c r="E121" s="157"/>
      <c r="F121" s="156"/>
      <c r="G121" s="158"/>
      <c r="H121" s="158"/>
      <c r="I121" s="7"/>
    </row>
    <row r="122" ht="15.75" customHeight="1">
      <c r="A122" s="141"/>
      <c r="B122" s="156"/>
      <c r="C122" s="156"/>
      <c r="D122" s="156"/>
      <c r="E122" s="157"/>
      <c r="F122" s="156"/>
      <c r="G122" s="158"/>
      <c r="H122" s="158"/>
      <c r="I122" s="7"/>
    </row>
    <row r="123" ht="15.75" customHeight="1">
      <c r="A123" s="141"/>
      <c r="B123" s="156"/>
      <c r="C123" s="156"/>
      <c r="D123" s="156"/>
      <c r="E123" s="157"/>
      <c r="F123" s="156"/>
      <c r="G123" s="158"/>
      <c r="H123" s="158"/>
      <c r="I123" s="7"/>
    </row>
    <row r="124" ht="15.75" customHeight="1">
      <c r="A124" s="141"/>
      <c r="B124" s="156"/>
      <c r="C124" s="156"/>
      <c r="D124" s="156"/>
      <c r="E124" s="157"/>
      <c r="F124" s="156"/>
      <c r="G124" s="158"/>
      <c r="H124" s="158"/>
      <c r="I124" s="7"/>
    </row>
    <row r="125" ht="15.75" customHeight="1">
      <c r="A125" s="141"/>
      <c r="B125" s="156"/>
      <c r="C125" s="156"/>
      <c r="D125" s="156"/>
      <c r="E125" s="157"/>
      <c r="F125" s="156"/>
      <c r="G125" s="158"/>
      <c r="H125" s="158"/>
      <c r="I125" s="7"/>
    </row>
    <row r="126" ht="15.75" customHeight="1">
      <c r="A126" s="141"/>
      <c r="B126" s="156"/>
      <c r="C126" s="156"/>
      <c r="D126" s="156"/>
      <c r="E126" s="157"/>
      <c r="F126" s="156"/>
      <c r="G126" s="158"/>
      <c r="H126" s="158"/>
      <c r="I126" s="7"/>
    </row>
    <row r="127" ht="15.75" customHeight="1">
      <c r="A127" s="141"/>
      <c r="B127" s="156"/>
      <c r="C127" s="156"/>
      <c r="D127" s="156"/>
      <c r="E127" s="157"/>
      <c r="F127" s="156"/>
      <c r="G127" s="158"/>
      <c r="H127" s="158"/>
      <c r="I127" s="7"/>
    </row>
    <row r="128" ht="15.75" customHeight="1">
      <c r="A128" s="141"/>
      <c r="B128" s="156"/>
      <c r="C128" s="156"/>
      <c r="D128" s="156"/>
      <c r="E128" s="157"/>
      <c r="F128" s="156"/>
      <c r="G128" s="158"/>
      <c r="H128" s="158"/>
      <c r="I128" s="7"/>
    </row>
    <row r="129" ht="15.75" customHeight="1">
      <c r="A129" s="141"/>
      <c r="B129" s="156"/>
      <c r="C129" s="156"/>
      <c r="D129" s="156"/>
      <c r="E129" s="157"/>
      <c r="F129" s="156"/>
      <c r="G129" s="158"/>
      <c r="H129" s="158"/>
      <c r="I129" s="7"/>
    </row>
    <row r="130" ht="15.75" customHeight="1">
      <c r="A130" s="141"/>
      <c r="B130" s="156"/>
      <c r="C130" s="156"/>
      <c r="D130" s="156"/>
      <c r="E130" s="157"/>
      <c r="F130" s="156"/>
      <c r="G130" s="158"/>
      <c r="H130" s="158"/>
      <c r="I130" s="7"/>
    </row>
    <row r="131" ht="15.75" customHeight="1">
      <c r="A131" s="141"/>
      <c r="B131" s="156"/>
      <c r="C131" s="156"/>
      <c r="D131" s="156"/>
      <c r="E131" s="157"/>
      <c r="F131" s="156"/>
      <c r="G131" s="158"/>
      <c r="H131" s="158"/>
      <c r="I131" s="7"/>
    </row>
    <row r="132" ht="15.75" customHeight="1">
      <c r="A132" s="141"/>
      <c r="B132" s="156"/>
      <c r="C132" s="156"/>
      <c r="D132" s="156"/>
      <c r="E132" s="157"/>
      <c r="F132" s="156"/>
      <c r="G132" s="158"/>
      <c r="H132" s="158"/>
      <c r="I132" s="7"/>
    </row>
    <row r="133" ht="15.75" customHeight="1">
      <c r="A133" s="141"/>
      <c r="B133" s="156"/>
      <c r="C133" s="156"/>
      <c r="D133" s="156"/>
      <c r="E133" s="157"/>
      <c r="F133" s="156"/>
      <c r="G133" s="158"/>
      <c r="H133" s="158"/>
      <c r="I133" s="7"/>
    </row>
    <row r="134" ht="15.75" customHeight="1">
      <c r="A134" s="141"/>
      <c r="B134" s="156"/>
      <c r="C134" s="156"/>
      <c r="D134" s="156"/>
      <c r="E134" s="157"/>
      <c r="F134" s="156"/>
      <c r="G134" s="158"/>
      <c r="H134" s="158"/>
      <c r="I134" s="7"/>
    </row>
    <row r="135" ht="15.75" customHeight="1">
      <c r="A135" s="141"/>
      <c r="B135" s="156"/>
      <c r="C135" s="156"/>
      <c r="D135" s="156"/>
      <c r="E135" s="157"/>
      <c r="F135" s="156"/>
      <c r="G135" s="158"/>
      <c r="H135" s="158"/>
      <c r="I135" s="7"/>
    </row>
    <row r="136" ht="15.75" customHeight="1">
      <c r="A136" s="141"/>
      <c r="B136" s="156"/>
      <c r="C136" s="156"/>
      <c r="D136" s="156"/>
      <c r="E136" s="157"/>
      <c r="F136" s="156"/>
      <c r="G136" s="158"/>
      <c r="H136" s="158"/>
      <c r="I136" s="7"/>
    </row>
    <row r="137" ht="15.75" customHeight="1">
      <c r="A137" s="141"/>
      <c r="B137" s="156"/>
      <c r="C137" s="156"/>
      <c r="D137" s="156"/>
      <c r="E137" s="157"/>
      <c r="F137" s="156"/>
      <c r="G137" s="158"/>
      <c r="H137" s="158"/>
      <c r="I137" s="7"/>
    </row>
    <row r="138" ht="15.75" customHeight="1">
      <c r="A138" s="141"/>
      <c r="B138" s="156"/>
      <c r="C138" s="156"/>
      <c r="D138" s="156"/>
      <c r="E138" s="157"/>
      <c r="F138" s="156"/>
      <c r="G138" s="158"/>
      <c r="H138" s="158"/>
      <c r="I138" s="7"/>
    </row>
    <row r="139" ht="15.75" customHeight="1">
      <c r="A139" s="141"/>
      <c r="B139" s="156"/>
      <c r="C139" s="156"/>
      <c r="D139" s="156"/>
      <c r="E139" s="157"/>
      <c r="F139" s="156"/>
      <c r="G139" s="158"/>
      <c r="H139" s="158"/>
      <c r="I139" s="7"/>
    </row>
    <row r="140" ht="15.75" customHeight="1">
      <c r="A140" s="141"/>
      <c r="B140" s="156"/>
      <c r="C140" s="156"/>
      <c r="D140" s="156"/>
      <c r="E140" s="157"/>
      <c r="F140" s="156"/>
      <c r="G140" s="158"/>
      <c r="H140" s="158"/>
      <c r="I140" s="7"/>
    </row>
    <row r="141" ht="15.75" customHeight="1">
      <c r="A141" s="141"/>
      <c r="B141" s="156"/>
      <c r="C141" s="156"/>
      <c r="D141" s="156"/>
      <c r="E141" s="157"/>
      <c r="F141" s="156"/>
      <c r="G141" s="158"/>
      <c r="H141" s="158"/>
      <c r="I141" s="7"/>
    </row>
    <row r="142" ht="15.75" customHeight="1">
      <c r="A142" s="141"/>
      <c r="B142" s="156"/>
      <c r="C142" s="156"/>
      <c r="D142" s="156"/>
      <c r="E142" s="157"/>
      <c r="F142" s="156"/>
      <c r="G142" s="158"/>
      <c r="H142" s="158"/>
      <c r="I142" s="7"/>
    </row>
    <row r="143" ht="15.75" customHeight="1">
      <c r="A143" s="141"/>
      <c r="B143" s="156"/>
      <c r="C143" s="156"/>
      <c r="D143" s="156"/>
      <c r="E143" s="157"/>
      <c r="F143" s="156"/>
      <c r="G143" s="158"/>
      <c r="H143" s="158"/>
      <c r="I143" s="7"/>
    </row>
    <row r="144" ht="15.75" customHeight="1">
      <c r="A144" s="141"/>
      <c r="B144" s="156"/>
      <c r="C144" s="156"/>
      <c r="D144" s="156"/>
      <c r="E144" s="157"/>
      <c r="F144" s="156"/>
      <c r="G144" s="158"/>
      <c r="H144" s="158"/>
      <c r="I144" s="7"/>
    </row>
    <row r="145" ht="15.75" customHeight="1">
      <c r="A145" s="141"/>
      <c r="B145" s="156"/>
      <c r="C145" s="156"/>
      <c r="D145" s="156"/>
      <c r="E145" s="157"/>
      <c r="F145" s="156"/>
      <c r="G145" s="158"/>
      <c r="H145" s="158"/>
      <c r="I145" s="7"/>
    </row>
    <row r="146" ht="15.75" customHeight="1">
      <c r="A146" s="141"/>
      <c r="B146" s="156"/>
      <c r="C146" s="156"/>
      <c r="D146" s="156"/>
      <c r="E146" s="157"/>
      <c r="F146" s="156"/>
      <c r="G146" s="158"/>
      <c r="H146" s="158"/>
      <c r="I146" s="7"/>
    </row>
    <row r="147" ht="15.75" customHeight="1">
      <c r="A147" s="141"/>
      <c r="B147" s="156"/>
      <c r="C147" s="156"/>
      <c r="D147" s="156"/>
      <c r="E147" s="157"/>
      <c r="F147" s="156"/>
      <c r="G147" s="158"/>
      <c r="H147" s="158"/>
      <c r="I147" s="7"/>
    </row>
    <row r="148" ht="15.75" customHeight="1">
      <c r="A148" s="141"/>
      <c r="B148" s="156"/>
      <c r="C148" s="156"/>
      <c r="D148" s="156"/>
      <c r="E148" s="157"/>
      <c r="F148" s="156"/>
      <c r="G148" s="158"/>
      <c r="H148" s="158"/>
      <c r="I148" s="7"/>
    </row>
    <row r="149" ht="15.75" customHeight="1">
      <c r="A149" s="141"/>
      <c r="B149" s="156"/>
      <c r="C149" s="156"/>
      <c r="D149" s="156"/>
      <c r="E149" s="157"/>
      <c r="F149" s="156"/>
      <c r="G149" s="158"/>
      <c r="H149" s="158"/>
      <c r="I149" s="7"/>
    </row>
    <row r="150" ht="15.75" customHeight="1">
      <c r="A150" s="141"/>
      <c r="B150" s="156"/>
      <c r="C150" s="156"/>
      <c r="D150" s="156"/>
      <c r="E150" s="157"/>
      <c r="F150" s="156"/>
      <c r="G150" s="158"/>
      <c r="H150" s="158"/>
      <c r="I150" s="7"/>
    </row>
    <row r="151" ht="15.75" customHeight="1">
      <c r="A151" s="141"/>
      <c r="B151" s="156"/>
      <c r="C151" s="156"/>
      <c r="D151" s="156"/>
      <c r="E151" s="157"/>
      <c r="F151" s="156"/>
      <c r="G151" s="158"/>
      <c r="H151" s="158"/>
      <c r="I151" s="7"/>
    </row>
    <row r="152" ht="15.75" customHeight="1">
      <c r="A152" s="141"/>
      <c r="B152" s="156"/>
      <c r="C152" s="156"/>
      <c r="D152" s="156"/>
      <c r="E152" s="157"/>
      <c r="F152" s="156"/>
      <c r="G152" s="158"/>
      <c r="H152" s="158"/>
      <c r="I152" s="7"/>
    </row>
    <row r="153" ht="15.75" customHeight="1">
      <c r="A153" s="141"/>
      <c r="B153" s="156"/>
      <c r="C153" s="156"/>
      <c r="D153" s="156"/>
      <c r="E153" s="157"/>
      <c r="F153" s="156"/>
      <c r="G153" s="158"/>
      <c r="H153" s="158"/>
      <c r="I153" s="7"/>
    </row>
    <row r="154" ht="15.75" customHeight="1">
      <c r="A154" s="141"/>
      <c r="B154" s="156"/>
      <c r="C154" s="156"/>
      <c r="D154" s="156"/>
      <c r="E154" s="157"/>
      <c r="F154" s="156"/>
      <c r="G154" s="158"/>
      <c r="H154" s="158"/>
      <c r="I154" s="7"/>
    </row>
    <row r="155" ht="15.75" customHeight="1">
      <c r="A155" s="141"/>
      <c r="B155" s="156"/>
      <c r="C155" s="156"/>
      <c r="D155" s="156"/>
      <c r="E155" s="157"/>
      <c r="F155" s="156"/>
      <c r="G155" s="158"/>
      <c r="H155" s="158"/>
      <c r="I155" s="7"/>
    </row>
    <row r="156" ht="15.75" customHeight="1">
      <c r="A156" s="141"/>
      <c r="B156" s="156"/>
      <c r="C156" s="156"/>
      <c r="D156" s="156"/>
      <c r="E156" s="157"/>
      <c r="F156" s="156"/>
      <c r="G156" s="158"/>
      <c r="H156" s="158"/>
      <c r="I156" s="7"/>
    </row>
    <row r="157" ht="15.75" customHeight="1">
      <c r="A157" s="141"/>
      <c r="B157" s="156"/>
      <c r="C157" s="156"/>
      <c r="D157" s="156"/>
      <c r="E157" s="157"/>
      <c r="F157" s="156"/>
      <c r="G157" s="158"/>
      <c r="H157" s="158"/>
      <c r="I157" s="7"/>
    </row>
    <row r="158" ht="15.75" customHeight="1">
      <c r="A158" s="141"/>
      <c r="B158" s="156"/>
      <c r="C158" s="156"/>
      <c r="D158" s="156"/>
      <c r="E158" s="157"/>
      <c r="F158" s="156"/>
      <c r="G158" s="158"/>
      <c r="H158" s="158"/>
      <c r="I158" s="7"/>
    </row>
    <row r="159" ht="15.75" customHeight="1">
      <c r="A159" s="141"/>
      <c r="B159" s="156"/>
      <c r="C159" s="156"/>
      <c r="D159" s="156"/>
      <c r="E159" s="157"/>
      <c r="F159" s="156"/>
      <c r="G159" s="158"/>
      <c r="H159" s="158"/>
      <c r="I159" s="7"/>
    </row>
    <row r="160" ht="15.75" customHeight="1">
      <c r="A160" s="141"/>
      <c r="B160" s="156"/>
      <c r="C160" s="156"/>
      <c r="D160" s="156"/>
      <c r="E160" s="157"/>
      <c r="F160" s="156"/>
      <c r="G160" s="158"/>
      <c r="H160" s="158"/>
      <c r="I160" s="7"/>
    </row>
    <row r="161" ht="15.75" customHeight="1">
      <c r="A161" s="141"/>
      <c r="B161" s="156"/>
      <c r="C161" s="156"/>
      <c r="D161" s="156"/>
      <c r="E161" s="157"/>
      <c r="F161" s="156"/>
      <c r="G161" s="158"/>
      <c r="H161" s="158"/>
      <c r="I161" s="7"/>
    </row>
    <row r="162" ht="15.75" customHeight="1">
      <c r="A162" s="141"/>
      <c r="B162" s="156"/>
      <c r="C162" s="156"/>
      <c r="D162" s="156"/>
      <c r="E162" s="157"/>
      <c r="F162" s="156"/>
      <c r="G162" s="158"/>
      <c r="H162" s="158"/>
      <c r="I162" s="7"/>
    </row>
    <row r="163" ht="15.75" customHeight="1">
      <c r="A163" s="141"/>
      <c r="B163" s="156"/>
      <c r="C163" s="156"/>
      <c r="D163" s="156"/>
      <c r="E163" s="157"/>
      <c r="F163" s="156"/>
      <c r="G163" s="158"/>
      <c r="H163" s="158"/>
      <c r="I163" s="7"/>
    </row>
    <row r="164" ht="15.75" customHeight="1">
      <c r="A164" s="141"/>
      <c r="B164" s="156"/>
      <c r="C164" s="156"/>
      <c r="D164" s="156"/>
      <c r="E164" s="157"/>
      <c r="F164" s="156"/>
      <c r="G164" s="158"/>
      <c r="H164" s="158"/>
      <c r="I164" s="7"/>
    </row>
    <row r="165" ht="15.75" customHeight="1">
      <c r="A165" s="141"/>
      <c r="B165" s="156"/>
      <c r="C165" s="156"/>
      <c r="D165" s="156"/>
      <c r="E165" s="157"/>
      <c r="F165" s="156"/>
      <c r="G165" s="158"/>
      <c r="H165" s="158"/>
      <c r="I165" s="7"/>
    </row>
    <row r="166" ht="15.75" customHeight="1">
      <c r="A166" s="141"/>
      <c r="B166" s="156"/>
      <c r="C166" s="156"/>
      <c r="D166" s="156"/>
      <c r="E166" s="157"/>
      <c r="F166" s="156"/>
      <c r="G166" s="158"/>
      <c r="H166" s="158"/>
      <c r="I166" s="7"/>
    </row>
    <row r="167" ht="15.75" customHeight="1">
      <c r="A167" s="141"/>
      <c r="B167" s="156"/>
      <c r="C167" s="156"/>
      <c r="D167" s="156"/>
      <c r="E167" s="157"/>
      <c r="F167" s="156"/>
      <c r="G167" s="158"/>
      <c r="H167" s="158"/>
      <c r="I167" s="7"/>
    </row>
    <row r="168" ht="15.75" customHeight="1">
      <c r="A168" s="141"/>
      <c r="B168" s="156"/>
      <c r="C168" s="156"/>
      <c r="D168" s="156"/>
      <c r="E168" s="157"/>
      <c r="F168" s="156"/>
      <c r="G168" s="158"/>
      <c r="H168" s="158"/>
      <c r="I168" s="7"/>
    </row>
    <row r="169" ht="15.75" customHeight="1">
      <c r="A169" s="141"/>
      <c r="B169" s="156"/>
      <c r="C169" s="156"/>
      <c r="D169" s="156"/>
      <c r="E169" s="157"/>
      <c r="F169" s="156"/>
      <c r="G169" s="158"/>
      <c r="H169" s="158"/>
      <c r="I169" s="7"/>
    </row>
    <row r="170" ht="15.75" customHeight="1">
      <c r="A170" s="141"/>
      <c r="B170" s="156"/>
      <c r="C170" s="156"/>
      <c r="D170" s="156"/>
      <c r="E170" s="157"/>
      <c r="F170" s="156"/>
      <c r="G170" s="158"/>
      <c r="H170" s="158"/>
      <c r="I170" s="7"/>
    </row>
    <row r="171" ht="15.75" customHeight="1">
      <c r="A171" s="141"/>
      <c r="B171" s="156"/>
      <c r="C171" s="156"/>
      <c r="D171" s="156"/>
      <c r="E171" s="157"/>
      <c r="F171" s="156"/>
      <c r="G171" s="158"/>
      <c r="H171" s="158"/>
      <c r="I171" s="7"/>
    </row>
    <row r="172" ht="15.75" customHeight="1">
      <c r="A172" s="141"/>
      <c r="B172" s="156"/>
      <c r="C172" s="156"/>
      <c r="D172" s="156"/>
      <c r="E172" s="157"/>
      <c r="F172" s="156"/>
      <c r="G172" s="158"/>
      <c r="H172" s="158"/>
      <c r="I172" s="7"/>
    </row>
    <row r="173" ht="15.75" customHeight="1">
      <c r="A173" s="141"/>
      <c r="B173" s="156"/>
      <c r="C173" s="156"/>
      <c r="D173" s="156"/>
      <c r="E173" s="157"/>
      <c r="F173" s="156"/>
      <c r="G173" s="158"/>
      <c r="H173" s="158"/>
      <c r="I173" s="7"/>
    </row>
    <row r="174" ht="15.75" customHeight="1">
      <c r="A174" s="141"/>
      <c r="B174" s="156"/>
      <c r="C174" s="156"/>
      <c r="D174" s="156"/>
      <c r="E174" s="157"/>
      <c r="F174" s="156"/>
      <c r="G174" s="158"/>
      <c r="H174" s="158"/>
      <c r="I174" s="7"/>
    </row>
    <row r="175" ht="15.75" customHeight="1">
      <c r="A175" s="141"/>
      <c r="B175" s="156"/>
      <c r="C175" s="156"/>
      <c r="D175" s="156"/>
      <c r="E175" s="157"/>
      <c r="F175" s="156"/>
      <c r="G175" s="158"/>
      <c r="H175" s="158"/>
      <c r="I175" s="7"/>
    </row>
    <row r="176" ht="15.75" customHeight="1">
      <c r="A176" s="141"/>
      <c r="B176" s="156"/>
      <c r="C176" s="156"/>
      <c r="D176" s="156"/>
      <c r="E176" s="157"/>
      <c r="F176" s="156"/>
      <c r="G176" s="158"/>
      <c r="H176" s="158"/>
      <c r="I176" s="7"/>
    </row>
    <row r="177" ht="15.75" customHeight="1">
      <c r="A177" s="141"/>
      <c r="B177" s="156"/>
      <c r="C177" s="156"/>
      <c r="D177" s="156"/>
      <c r="E177" s="157"/>
      <c r="F177" s="156"/>
      <c r="G177" s="158"/>
      <c r="H177" s="158"/>
      <c r="I177" s="7"/>
    </row>
    <row r="178" ht="15.75" customHeight="1">
      <c r="A178" s="141"/>
      <c r="B178" s="156"/>
      <c r="C178" s="156"/>
      <c r="D178" s="156"/>
      <c r="E178" s="157"/>
      <c r="F178" s="156"/>
      <c r="G178" s="158"/>
      <c r="H178" s="158"/>
      <c r="I178" s="7"/>
    </row>
    <row r="179" ht="15.75" customHeight="1">
      <c r="A179" s="141"/>
      <c r="B179" s="156"/>
      <c r="C179" s="156"/>
      <c r="D179" s="156"/>
      <c r="E179" s="157"/>
      <c r="F179" s="156"/>
      <c r="G179" s="158"/>
      <c r="H179" s="158"/>
      <c r="I179" s="7"/>
    </row>
    <row r="180" ht="15.75" customHeight="1">
      <c r="A180" s="141"/>
      <c r="B180" s="156"/>
      <c r="C180" s="156"/>
      <c r="D180" s="156"/>
      <c r="E180" s="157"/>
      <c r="F180" s="156"/>
      <c r="G180" s="158"/>
      <c r="H180" s="158"/>
      <c r="I180" s="7"/>
    </row>
    <row r="181" ht="15.75" customHeight="1">
      <c r="A181" s="141"/>
      <c r="B181" s="156"/>
      <c r="C181" s="156"/>
      <c r="D181" s="156"/>
      <c r="E181" s="157"/>
      <c r="F181" s="156"/>
      <c r="G181" s="158"/>
      <c r="H181" s="158"/>
      <c r="I181" s="7"/>
    </row>
    <row r="182" ht="15.75" customHeight="1">
      <c r="A182" s="141"/>
      <c r="B182" s="156"/>
      <c r="C182" s="156"/>
      <c r="D182" s="156"/>
      <c r="E182" s="157"/>
      <c r="F182" s="156"/>
      <c r="G182" s="158"/>
      <c r="H182" s="158"/>
      <c r="I182" s="7"/>
    </row>
    <row r="183" ht="15.75" customHeight="1">
      <c r="A183" s="141"/>
      <c r="B183" s="156"/>
      <c r="C183" s="156"/>
      <c r="D183" s="156"/>
      <c r="E183" s="157"/>
      <c r="F183" s="156"/>
      <c r="G183" s="158"/>
      <c r="H183" s="158"/>
      <c r="I183" s="7"/>
    </row>
    <row r="184" ht="15.75" customHeight="1">
      <c r="A184" s="141"/>
      <c r="B184" s="156"/>
      <c r="C184" s="156"/>
      <c r="D184" s="156"/>
      <c r="E184" s="157"/>
      <c r="F184" s="156"/>
      <c r="G184" s="158"/>
      <c r="H184" s="158"/>
      <c r="I184" s="7"/>
    </row>
    <row r="185" ht="15.75" customHeight="1">
      <c r="A185" s="141"/>
      <c r="B185" s="156"/>
      <c r="C185" s="156"/>
      <c r="D185" s="156"/>
      <c r="E185" s="157"/>
      <c r="F185" s="156"/>
      <c r="G185" s="158"/>
      <c r="H185" s="158"/>
      <c r="I185" s="7"/>
    </row>
    <row r="186" ht="15.75" customHeight="1">
      <c r="A186" s="141"/>
      <c r="B186" s="156"/>
      <c r="C186" s="156"/>
      <c r="D186" s="156"/>
      <c r="E186" s="157"/>
      <c r="F186" s="156"/>
      <c r="G186" s="158"/>
      <c r="H186" s="158"/>
      <c r="I186" s="7"/>
    </row>
    <row r="187" ht="15.75" customHeight="1">
      <c r="A187" s="141"/>
      <c r="B187" s="156"/>
      <c r="C187" s="156"/>
      <c r="D187" s="156"/>
      <c r="E187" s="157"/>
      <c r="F187" s="156"/>
      <c r="G187" s="158"/>
      <c r="H187" s="158"/>
      <c r="I187" s="7"/>
    </row>
    <row r="188" ht="15.75" customHeight="1">
      <c r="A188" s="141"/>
      <c r="B188" s="156"/>
      <c r="C188" s="156"/>
      <c r="D188" s="156"/>
      <c r="E188" s="157"/>
      <c r="F188" s="156"/>
      <c r="G188" s="158"/>
      <c r="H188" s="158"/>
      <c r="I188" s="7"/>
    </row>
    <row r="189" ht="15.75" customHeight="1">
      <c r="A189" s="141"/>
      <c r="B189" s="156"/>
      <c r="C189" s="156"/>
      <c r="D189" s="156"/>
      <c r="E189" s="157"/>
      <c r="F189" s="156"/>
      <c r="G189" s="158"/>
      <c r="H189" s="158"/>
      <c r="I189" s="7"/>
    </row>
    <row r="190" ht="15.75" customHeight="1">
      <c r="A190" s="141"/>
      <c r="B190" s="156"/>
      <c r="C190" s="156"/>
      <c r="D190" s="156"/>
      <c r="E190" s="157"/>
      <c r="F190" s="156"/>
      <c r="G190" s="158"/>
      <c r="H190" s="158"/>
      <c r="I190" s="7"/>
    </row>
    <row r="191" ht="15.75" customHeight="1">
      <c r="A191" s="141"/>
      <c r="B191" s="156"/>
      <c r="C191" s="156"/>
      <c r="D191" s="156"/>
      <c r="E191" s="157"/>
      <c r="F191" s="156"/>
      <c r="G191" s="158"/>
      <c r="H191" s="158"/>
      <c r="I191" s="7"/>
    </row>
    <row r="192" ht="15.75" customHeight="1">
      <c r="A192" s="141"/>
      <c r="B192" s="156"/>
      <c r="C192" s="156"/>
      <c r="D192" s="156"/>
      <c r="E192" s="157"/>
      <c r="F192" s="156"/>
      <c r="G192" s="158"/>
      <c r="H192" s="158"/>
      <c r="I192" s="7"/>
    </row>
    <row r="193" ht="15.75" customHeight="1">
      <c r="A193" s="141"/>
      <c r="B193" s="156"/>
      <c r="C193" s="156"/>
      <c r="D193" s="156"/>
      <c r="E193" s="157"/>
      <c r="F193" s="156"/>
      <c r="G193" s="158"/>
      <c r="H193" s="158"/>
      <c r="I193" s="7"/>
    </row>
    <row r="194" ht="15.75" customHeight="1">
      <c r="A194" s="141"/>
      <c r="B194" s="156"/>
      <c r="C194" s="156"/>
      <c r="D194" s="156"/>
      <c r="E194" s="157"/>
      <c r="F194" s="156"/>
      <c r="G194" s="158"/>
      <c r="H194" s="158"/>
      <c r="I194" s="7"/>
    </row>
    <row r="195" ht="15.75" customHeight="1">
      <c r="A195" s="141"/>
      <c r="B195" s="156"/>
      <c r="C195" s="156"/>
      <c r="D195" s="156"/>
      <c r="E195" s="157"/>
      <c r="F195" s="156"/>
      <c r="G195" s="158"/>
      <c r="H195" s="158"/>
      <c r="I195" s="7"/>
    </row>
    <row r="196" ht="15.75" customHeight="1">
      <c r="A196" s="141"/>
      <c r="B196" s="156"/>
      <c r="C196" s="156"/>
      <c r="D196" s="156"/>
      <c r="E196" s="157"/>
      <c r="F196" s="156"/>
      <c r="G196" s="158"/>
      <c r="H196" s="158"/>
      <c r="I196" s="7"/>
    </row>
    <row r="197" ht="15.75" customHeight="1">
      <c r="A197" s="141"/>
      <c r="B197" s="156"/>
      <c r="C197" s="156"/>
      <c r="D197" s="156"/>
      <c r="E197" s="157"/>
      <c r="F197" s="156"/>
      <c r="G197" s="158"/>
      <c r="H197" s="158"/>
      <c r="I197" s="7"/>
    </row>
    <row r="198" ht="15.75" customHeight="1">
      <c r="A198" s="141"/>
      <c r="B198" s="156"/>
      <c r="C198" s="156"/>
      <c r="D198" s="156"/>
      <c r="E198" s="157"/>
      <c r="F198" s="156"/>
      <c r="G198" s="158"/>
      <c r="H198" s="158"/>
      <c r="I198" s="7"/>
    </row>
    <row r="199" ht="15.75" customHeight="1">
      <c r="A199" s="141"/>
      <c r="B199" s="156"/>
      <c r="C199" s="156"/>
      <c r="D199" s="156"/>
      <c r="E199" s="157"/>
      <c r="F199" s="156"/>
      <c r="G199" s="158"/>
      <c r="H199" s="158"/>
      <c r="I199" s="7"/>
    </row>
    <row r="200" ht="15.75" customHeight="1">
      <c r="A200" s="141"/>
      <c r="B200" s="156"/>
      <c r="C200" s="156"/>
      <c r="D200" s="156"/>
      <c r="E200" s="157"/>
      <c r="F200" s="156"/>
      <c r="G200" s="158"/>
      <c r="H200" s="158"/>
      <c r="I200" s="7"/>
    </row>
    <row r="201" ht="15.75" customHeight="1">
      <c r="A201" s="141"/>
      <c r="B201" s="156"/>
      <c r="C201" s="156"/>
      <c r="D201" s="156"/>
      <c r="E201" s="157"/>
      <c r="F201" s="156"/>
      <c r="G201" s="158"/>
      <c r="H201" s="158"/>
      <c r="I201" s="7"/>
    </row>
    <row r="202" ht="15.75" customHeight="1">
      <c r="A202" s="141"/>
      <c r="B202" s="156"/>
      <c r="C202" s="156"/>
      <c r="D202" s="156"/>
      <c r="E202" s="157"/>
      <c r="F202" s="156"/>
      <c r="G202" s="158"/>
      <c r="H202" s="158"/>
      <c r="I202" s="7"/>
    </row>
    <row r="203" ht="15.75" customHeight="1">
      <c r="A203" s="141"/>
      <c r="B203" s="156"/>
      <c r="C203" s="156"/>
      <c r="D203" s="156"/>
      <c r="E203" s="157"/>
      <c r="F203" s="156"/>
      <c r="G203" s="158"/>
      <c r="H203" s="158"/>
      <c r="I203" s="7"/>
    </row>
    <row r="204" ht="15.75" customHeight="1">
      <c r="A204" s="141"/>
      <c r="B204" s="156"/>
      <c r="C204" s="156"/>
      <c r="D204" s="156"/>
      <c r="E204" s="157"/>
      <c r="F204" s="156"/>
      <c r="G204" s="158"/>
      <c r="H204" s="158"/>
      <c r="I204" s="7"/>
    </row>
    <row r="205" ht="15.75" customHeight="1">
      <c r="A205" s="141"/>
      <c r="B205" s="156"/>
      <c r="C205" s="156"/>
      <c r="D205" s="156"/>
      <c r="E205" s="157"/>
      <c r="F205" s="156"/>
      <c r="G205" s="158"/>
      <c r="H205" s="158"/>
      <c r="I205" s="7"/>
    </row>
    <row r="206" ht="15.75" customHeight="1">
      <c r="A206" s="141"/>
      <c r="B206" s="156"/>
      <c r="C206" s="156"/>
      <c r="D206" s="156"/>
      <c r="E206" s="157"/>
      <c r="F206" s="156"/>
      <c r="G206" s="158"/>
      <c r="H206" s="158"/>
      <c r="I206" s="7"/>
    </row>
    <row r="207" ht="15.75" customHeight="1">
      <c r="A207" s="141"/>
      <c r="B207" s="156"/>
      <c r="C207" s="156"/>
      <c r="D207" s="156"/>
      <c r="E207" s="157"/>
      <c r="F207" s="156"/>
      <c r="G207" s="158"/>
      <c r="H207" s="158"/>
      <c r="I207" s="7"/>
    </row>
    <row r="208" ht="15.75" customHeight="1">
      <c r="A208" s="141"/>
      <c r="B208" s="156"/>
      <c r="C208" s="156"/>
      <c r="D208" s="156"/>
      <c r="E208" s="157"/>
      <c r="F208" s="156"/>
      <c r="G208" s="158"/>
      <c r="H208" s="158"/>
      <c r="I208" s="7"/>
    </row>
    <row r="209" ht="15.75" customHeight="1">
      <c r="A209" s="141"/>
      <c r="B209" s="156"/>
      <c r="C209" s="156"/>
      <c r="D209" s="156"/>
      <c r="E209" s="157"/>
      <c r="F209" s="156"/>
      <c r="G209" s="158"/>
      <c r="H209" s="158"/>
      <c r="I209" s="7"/>
    </row>
    <row r="210" ht="15.75" customHeight="1">
      <c r="A210" s="141"/>
      <c r="B210" s="156"/>
      <c r="C210" s="156"/>
      <c r="D210" s="156"/>
      <c r="E210" s="157"/>
      <c r="F210" s="156"/>
      <c r="G210" s="158"/>
      <c r="H210" s="158"/>
      <c r="I210" s="7"/>
    </row>
    <row r="211" ht="15.75" customHeight="1">
      <c r="A211" s="141"/>
      <c r="B211" s="156"/>
      <c r="C211" s="156"/>
      <c r="D211" s="156"/>
      <c r="E211" s="157"/>
      <c r="F211" s="156"/>
      <c r="G211" s="158"/>
      <c r="H211" s="158"/>
      <c r="I211" s="7"/>
    </row>
    <row r="212" ht="15.75" customHeight="1">
      <c r="A212" s="141"/>
      <c r="B212" s="156"/>
      <c r="C212" s="156"/>
      <c r="D212" s="156"/>
      <c r="E212" s="157"/>
      <c r="F212" s="156"/>
      <c r="G212" s="158"/>
      <c r="H212" s="158"/>
      <c r="I212" s="7"/>
    </row>
    <row r="213" ht="15.75" customHeight="1">
      <c r="A213" s="141"/>
      <c r="B213" s="156"/>
      <c r="C213" s="156"/>
      <c r="D213" s="156"/>
      <c r="E213" s="157"/>
      <c r="F213" s="156"/>
      <c r="G213" s="158"/>
      <c r="H213" s="158"/>
      <c r="I213" s="7"/>
    </row>
    <row r="214" ht="15.75" customHeight="1">
      <c r="A214" s="141"/>
      <c r="B214" s="156"/>
      <c r="C214" s="156"/>
      <c r="D214" s="156"/>
      <c r="E214" s="157"/>
      <c r="F214" s="156"/>
      <c r="G214" s="158"/>
      <c r="H214" s="158"/>
      <c r="I214" s="7"/>
    </row>
    <row r="215" ht="15.75" customHeight="1">
      <c r="A215" s="141"/>
      <c r="B215" s="156"/>
      <c r="C215" s="156"/>
      <c r="D215" s="156"/>
      <c r="E215" s="157"/>
      <c r="F215" s="156"/>
      <c r="G215" s="158"/>
      <c r="H215" s="158"/>
      <c r="I215" s="7"/>
    </row>
    <row r="216" ht="15.75" customHeight="1">
      <c r="A216" s="141"/>
      <c r="B216" s="156"/>
      <c r="C216" s="156"/>
      <c r="D216" s="156"/>
      <c r="E216" s="157"/>
      <c r="F216" s="156"/>
      <c r="G216" s="158"/>
      <c r="H216" s="158"/>
      <c r="I216" s="7"/>
    </row>
    <row r="217" ht="15.75" customHeight="1">
      <c r="A217" s="141"/>
      <c r="B217" s="156"/>
      <c r="C217" s="156"/>
      <c r="D217" s="156"/>
      <c r="E217" s="157"/>
      <c r="F217" s="156"/>
      <c r="G217" s="158"/>
      <c r="H217" s="158"/>
      <c r="I217" s="7"/>
    </row>
    <row r="218" ht="15.75" customHeight="1">
      <c r="A218" s="141"/>
      <c r="B218" s="156"/>
      <c r="C218" s="156"/>
      <c r="D218" s="156"/>
      <c r="E218" s="157"/>
      <c r="F218" s="156"/>
      <c r="G218" s="158"/>
      <c r="H218" s="158"/>
      <c r="I218" s="7"/>
    </row>
    <row r="219" ht="15.75" customHeight="1">
      <c r="A219" s="141"/>
      <c r="B219" s="156"/>
      <c r="C219" s="156"/>
      <c r="D219" s="156"/>
      <c r="E219" s="157"/>
      <c r="F219" s="156"/>
      <c r="G219" s="158"/>
      <c r="H219" s="158"/>
      <c r="I219" s="7"/>
    </row>
    <row r="220" ht="15.75" customHeight="1">
      <c r="A220" s="141"/>
      <c r="B220" s="156"/>
      <c r="C220" s="156"/>
      <c r="D220" s="156"/>
      <c r="E220" s="157"/>
      <c r="F220" s="156"/>
      <c r="G220" s="158"/>
      <c r="H220" s="158"/>
      <c r="I220" s="7"/>
    </row>
    <row r="221" ht="15.75" customHeight="1">
      <c r="A221" s="141"/>
      <c r="B221" s="156"/>
      <c r="C221" s="156"/>
      <c r="D221" s="156"/>
      <c r="E221" s="157"/>
      <c r="F221" s="156"/>
      <c r="G221" s="158"/>
      <c r="H221" s="158"/>
      <c r="I221" s="7"/>
    </row>
    <row r="222" ht="15.75" customHeight="1">
      <c r="A222" s="141"/>
      <c r="B222" s="156"/>
      <c r="C222" s="156"/>
      <c r="D222" s="156"/>
      <c r="E222" s="157"/>
      <c r="F222" s="156"/>
      <c r="G222" s="158"/>
      <c r="H222" s="158"/>
      <c r="I222" s="7"/>
    </row>
    <row r="223" ht="15.75" customHeight="1">
      <c r="A223" s="141"/>
      <c r="B223" s="156"/>
      <c r="C223" s="156"/>
      <c r="D223" s="156"/>
      <c r="E223" s="157"/>
      <c r="F223" s="156"/>
      <c r="G223" s="158"/>
      <c r="H223" s="158"/>
      <c r="I223" s="7"/>
    </row>
    <row r="224" ht="15.75" customHeight="1">
      <c r="A224" s="141"/>
      <c r="B224" s="156"/>
      <c r="C224" s="156"/>
      <c r="D224" s="156"/>
      <c r="E224" s="157"/>
      <c r="F224" s="156"/>
      <c r="G224" s="158"/>
      <c r="H224" s="158"/>
      <c r="I224" s="7"/>
    </row>
    <row r="225" ht="15.75" customHeight="1">
      <c r="A225" s="141"/>
      <c r="B225" s="156"/>
      <c r="C225" s="156"/>
      <c r="D225" s="156"/>
      <c r="E225" s="157"/>
      <c r="F225" s="156"/>
      <c r="G225" s="158"/>
      <c r="H225" s="158"/>
      <c r="I225" s="7"/>
    </row>
    <row r="226" ht="15.75" customHeight="1">
      <c r="A226" s="141"/>
      <c r="B226" s="156"/>
      <c r="C226" s="156"/>
      <c r="D226" s="156"/>
      <c r="E226" s="157"/>
      <c r="F226" s="156"/>
      <c r="G226" s="158"/>
      <c r="H226" s="158"/>
      <c r="I226" s="7"/>
    </row>
    <row r="227" ht="15.75" customHeight="1">
      <c r="A227" s="141"/>
      <c r="B227" s="156"/>
      <c r="C227" s="156"/>
      <c r="D227" s="156"/>
      <c r="E227" s="157"/>
      <c r="F227" s="156"/>
      <c r="G227" s="158"/>
      <c r="H227" s="158"/>
      <c r="I227" s="7"/>
    </row>
    <row r="228" ht="15.75" customHeight="1">
      <c r="A228" s="141"/>
      <c r="B228" s="156"/>
      <c r="C228" s="156"/>
      <c r="D228" s="156"/>
      <c r="E228" s="157"/>
      <c r="F228" s="156"/>
      <c r="G228" s="158"/>
      <c r="H228" s="158"/>
      <c r="I228" s="7"/>
    </row>
    <row r="229" ht="15.75" customHeight="1">
      <c r="A229" s="141"/>
      <c r="B229" s="156"/>
      <c r="C229" s="156"/>
      <c r="D229" s="156"/>
      <c r="E229" s="157"/>
      <c r="F229" s="156"/>
      <c r="G229" s="158"/>
      <c r="H229" s="158"/>
      <c r="I229" s="7"/>
    </row>
    <row r="230" ht="15.75" customHeight="1">
      <c r="A230" s="141"/>
      <c r="B230" s="156"/>
      <c r="C230" s="156"/>
      <c r="D230" s="156"/>
      <c r="E230" s="157"/>
      <c r="F230" s="156"/>
      <c r="G230" s="158"/>
      <c r="H230" s="158"/>
      <c r="I230" s="7"/>
    </row>
    <row r="231" ht="15.75" customHeight="1">
      <c r="A231" s="141"/>
      <c r="B231" s="156"/>
      <c r="C231" s="156"/>
      <c r="D231" s="156"/>
      <c r="E231" s="157"/>
      <c r="F231" s="156"/>
      <c r="G231" s="158"/>
      <c r="H231" s="158"/>
      <c r="I231" s="7"/>
    </row>
    <row r="232" ht="15.75" customHeight="1">
      <c r="A232" s="141"/>
      <c r="B232" s="156"/>
      <c r="C232" s="156"/>
      <c r="D232" s="156"/>
      <c r="E232" s="157"/>
      <c r="F232" s="156"/>
      <c r="G232" s="158"/>
      <c r="H232" s="158"/>
      <c r="I232" s="7"/>
    </row>
    <row r="233" ht="15.75" customHeight="1">
      <c r="A233" s="141"/>
      <c r="B233" s="156"/>
      <c r="C233" s="156"/>
      <c r="D233" s="156"/>
      <c r="E233" s="157"/>
      <c r="F233" s="156"/>
      <c r="G233" s="158"/>
      <c r="H233" s="158"/>
      <c r="I233" s="7"/>
    </row>
    <row r="234" ht="15.75" customHeight="1">
      <c r="A234" s="141"/>
      <c r="B234" s="156"/>
      <c r="C234" s="156"/>
      <c r="D234" s="156"/>
      <c r="E234" s="157"/>
      <c r="F234" s="156"/>
      <c r="G234" s="158"/>
      <c r="H234" s="158"/>
      <c r="I234" s="7"/>
    </row>
    <row r="235" ht="15.75" customHeight="1">
      <c r="A235" s="141"/>
      <c r="B235" s="156"/>
      <c r="C235" s="156"/>
      <c r="D235" s="156"/>
      <c r="E235" s="157"/>
      <c r="F235" s="156"/>
      <c r="G235" s="158"/>
      <c r="H235" s="158"/>
      <c r="I235" s="7"/>
    </row>
    <row r="236" ht="15.75" customHeight="1">
      <c r="A236" s="141"/>
      <c r="B236" s="156"/>
      <c r="C236" s="156"/>
      <c r="D236" s="156"/>
      <c r="E236" s="157"/>
      <c r="F236" s="156"/>
      <c r="G236" s="158"/>
      <c r="H236" s="158"/>
      <c r="I236" s="7"/>
    </row>
    <row r="237" ht="15.75" customHeight="1">
      <c r="A237" s="141"/>
      <c r="B237" s="156"/>
      <c r="C237" s="156"/>
      <c r="D237" s="156"/>
      <c r="E237" s="157"/>
      <c r="F237" s="156"/>
      <c r="G237" s="158"/>
      <c r="H237" s="158"/>
      <c r="I237" s="7"/>
    </row>
    <row r="238" ht="15.75" customHeight="1">
      <c r="A238" s="141"/>
      <c r="B238" s="156"/>
      <c r="C238" s="156"/>
      <c r="D238" s="156"/>
      <c r="E238" s="157"/>
      <c r="F238" s="156"/>
      <c r="G238" s="158"/>
      <c r="H238" s="158"/>
      <c r="I238" s="7"/>
    </row>
    <row r="239" ht="15.75" customHeight="1">
      <c r="A239" s="141"/>
      <c r="B239" s="156"/>
      <c r="C239" s="156"/>
      <c r="D239" s="156"/>
      <c r="E239" s="157"/>
      <c r="F239" s="156"/>
      <c r="G239" s="158"/>
      <c r="H239" s="158"/>
      <c r="I239" s="7"/>
    </row>
    <row r="240" ht="15.75" customHeight="1">
      <c r="A240" s="141"/>
      <c r="B240" s="156"/>
      <c r="C240" s="156"/>
      <c r="D240" s="156"/>
      <c r="E240" s="157"/>
      <c r="F240" s="156"/>
      <c r="G240" s="158"/>
      <c r="H240" s="158"/>
      <c r="I240" s="7"/>
    </row>
    <row r="241" ht="15.75" customHeight="1">
      <c r="A241" s="141"/>
      <c r="B241" s="156"/>
      <c r="C241" s="156"/>
      <c r="D241" s="156"/>
      <c r="E241" s="157"/>
      <c r="F241" s="156"/>
      <c r="G241" s="158"/>
      <c r="H241" s="158"/>
      <c r="I241" s="7"/>
    </row>
    <row r="242" ht="15.75" customHeight="1">
      <c r="A242" s="141"/>
      <c r="B242" s="156"/>
      <c r="C242" s="156"/>
      <c r="D242" s="156"/>
      <c r="E242" s="157"/>
      <c r="F242" s="156"/>
      <c r="G242" s="158"/>
      <c r="H242" s="158"/>
      <c r="I242" s="7"/>
    </row>
    <row r="243" ht="15.75" customHeight="1">
      <c r="A243" s="141"/>
      <c r="B243" s="156"/>
      <c r="C243" s="156"/>
      <c r="D243" s="156"/>
      <c r="E243" s="157"/>
      <c r="F243" s="156"/>
      <c r="G243" s="158"/>
      <c r="H243" s="158"/>
      <c r="I243" s="7"/>
    </row>
    <row r="244" ht="15.75" customHeight="1">
      <c r="A244" s="141"/>
      <c r="B244" s="156"/>
      <c r="C244" s="156"/>
      <c r="D244" s="156"/>
      <c r="E244" s="157"/>
      <c r="F244" s="156"/>
      <c r="G244" s="158"/>
      <c r="H244" s="158"/>
      <c r="I244" s="7"/>
    </row>
    <row r="245" ht="15.75" customHeight="1">
      <c r="A245" s="141"/>
      <c r="B245" s="156"/>
      <c r="C245" s="156"/>
      <c r="D245" s="156"/>
      <c r="E245" s="157"/>
      <c r="F245" s="156"/>
      <c r="G245" s="158"/>
      <c r="H245" s="158"/>
      <c r="I245" s="7"/>
    </row>
    <row r="246" ht="15.75" customHeight="1">
      <c r="A246" s="141"/>
      <c r="B246" s="156"/>
      <c r="C246" s="156"/>
      <c r="D246" s="156"/>
      <c r="E246" s="157"/>
      <c r="F246" s="156"/>
      <c r="G246" s="158"/>
      <c r="H246" s="158"/>
      <c r="I246" s="7"/>
    </row>
    <row r="247" ht="15.75" customHeight="1">
      <c r="A247" s="141"/>
      <c r="B247" s="156"/>
      <c r="C247" s="156"/>
      <c r="D247" s="156"/>
      <c r="E247" s="157"/>
      <c r="F247" s="156"/>
      <c r="G247" s="158"/>
      <c r="H247" s="158"/>
      <c r="I247" s="7"/>
    </row>
    <row r="248" ht="15.75" customHeight="1">
      <c r="A248" s="141"/>
      <c r="B248" s="156"/>
      <c r="C248" s="156"/>
      <c r="D248" s="156"/>
      <c r="E248" s="157"/>
      <c r="F248" s="156"/>
      <c r="G248" s="158"/>
      <c r="H248" s="158"/>
      <c r="I248" s="7"/>
    </row>
    <row r="249" ht="15.75" customHeight="1">
      <c r="A249" s="141"/>
      <c r="B249" s="156"/>
      <c r="C249" s="156"/>
      <c r="D249" s="156"/>
      <c r="E249" s="157"/>
      <c r="F249" s="156"/>
      <c r="G249" s="158"/>
      <c r="H249" s="158"/>
      <c r="I249" s="7"/>
    </row>
    <row r="250" ht="15.75" customHeight="1">
      <c r="A250" s="141"/>
      <c r="B250" s="156"/>
      <c r="C250" s="156"/>
      <c r="D250" s="156"/>
      <c r="E250" s="157"/>
      <c r="F250" s="156"/>
      <c r="G250" s="158"/>
      <c r="H250" s="158"/>
      <c r="I250" s="7"/>
    </row>
    <row r="251" ht="15.75" customHeight="1">
      <c r="A251" s="141"/>
      <c r="B251" s="156"/>
      <c r="C251" s="156"/>
      <c r="D251" s="156"/>
      <c r="E251" s="157"/>
      <c r="F251" s="156"/>
      <c r="G251" s="158"/>
      <c r="H251" s="158"/>
      <c r="I251" s="7"/>
    </row>
    <row r="252" ht="15.75" customHeight="1">
      <c r="A252" s="141"/>
      <c r="B252" s="156"/>
      <c r="C252" s="156"/>
      <c r="D252" s="156"/>
      <c r="E252" s="157"/>
      <c r="F252" s="156"/>
      <c r="G252" s="158"/>
      <c r="H252" s="158"/>
      <c r="I252" s="7"/>
    </row>
    <row r="253" ht="15.75" customHeight="1">
      <c r="A253" s="141"/>
      <c r="B253" s="156"/>
      <c r="C253" s="156"/>
      <c r="D253" s="156"/>
      <c r="E253" s="157"/>
      <c r="F253" s="156"/>
      <c r="G253" s="158"/>
      <c r="H253" s="158"/>
      <c r="I253" s="7"/>
    </row>
    <row r="254" ht="15.75" customHeight="1">
      <c r="A254" s="141"/>
      <c r="B254" s="156"/>
      <c r="C254" s="156"/>
      <c r="D254" s="156"/>
      <c r="E254" s="157"/>
      <c r="F254" s="156"/>
      <c r="G254" s="158"/>
      <c r="H254" s="158"/>
      <c r="I254" s="7"/>
    </row>
    <row r="255" ht="15.75" customHeight="1">
      <c r="A255" s="141"/>
      <c r="B255" s="156"/>
      <c r="C255" s="156"/>
      <c r="D255" s="156"/>
      <c r="E255" s="157"/>
      <c r="F255" s="156"/>
      <c r="G255" s="158"/>
      <c r="H255" s="158"/>
      <c r="I255" s="7"/>
    </row>
    <row r="256" ht="15.75" customHeight="1">
      <c r="A256" s="141"/>
      <c r="B256" s="156"/>
      <c r="C256" s="156"/>
      <c r="D256" s="156"/>
      <c r="E256" s="157"/>
      <c r="F256" s="156"/>
      <c r="G256" s="158"/>
      <c r="H256" s="158"/>
      <c r="I256" s="7"/>
    </row>
    <row r="257" ht="15.75" customHeight="1">
      <c r="A257" s="141"/>
      <c r="B257" s="156"/>
      <c r="C257" s="156"/>
      <c r="D257" s="156"/>
      <c r="E257" s="157"/>
      <c r="F257" s="156"/>
      <c r="G257" s="158"/>
      <c r="H257" s="158"/>
      <c r="I257" s="7"/>
    </row>
    <row r="258" ht="15.75" customHeight="1">
      <c r="B258" s="164"/>
      <c r="C258" s="164"/>
      <c r="D258" s="164"/>
      <c r="E258" s="164"/>
      <c r="F258" s="164"/>
      <c r="G258" s="158"/>
      <c r="H258" s="158"/>
    </row>
    <row r="259" ht="15.75" customHeight="1">
      <c r="B259" s="164"/>
      <c r="C259" s="164"/>
      <c r="D259" s="164"/>
      <c r="E259" s="164"/>
      <c r="F259" s="164"/>
      <c r="G259" s="158"/>
      <c r="H259" s="158"/>
    </row>
    <row r="260" ht="15.75" customHeight="1">
      <c r="B260" s="164"/>
      <c r="C260" s="164"/>
      <c r="D260" s="164"/>
      <c r="E260" s="164"/>
      <c r="F260" s="164"/>
      <c r="G260" s="158"/>
      <c r="H260" s="158"/>
    </row>
    <row r="261" ht="15.75" customHeight="1">
      <c r="B261" s="164"/>
      <c r="C261" s="164"/>
      <c r="D261" s="164"/>
      <c r="E261" s="164"/>
      <c r="F261" s="164"/>
      <c r="G261" s="158"/>
      <c r="H261" s="158"/>
    </row>
    <row r="262" ht="15.75" customHeight="1">
      <c r="B262" s="164"/>
      <c r="C262" s="164"/>
      <c r="D262" s="164"/>
      <c r="E262" s="164"/>
      <c r="F262" s="164"/>
      <c r="G262" s="158"/>
      <c r="H262" s="158"/>
    </row>
    <row r="263" ht="15.75" customHeight="1">
      <c r="B263" s="164"/>
      <c r="C263" s="164"/>
      <c r="D263" s="164"/>
      <c r="E263" s="164"/>
      <c r="F263" s="164"/>
      <c r="G263" s="158"/>
      <c r="H263" s="158"/>
    </row>
    <row r="264" ht="15.75" customHeight="1">
      <c r="B264" s="164"/>
      <c r="C264" s="164"/>
      <c r="D264" s="164"/>
      <c r="E264" s="164"/>
      <c r="F264" s="164"/>
      <c r="G264" s="158"/>
      <c r="H264" s="158"/>
    </row>
    <row r="265" ht="15.75" customHeight="1">
      <c r="B265" s="164"/>
      <c r="C265" s="164"/>
      <c r="D265" s="164"/>
      <c r="E265" s="164"/>
      <c r="F265" s="164"/>
      <c r="G265" s="158"/>
      <c r="H265" s="158"/>
    </row>
    <row r="266" ht="15.75" customHeight="1">
      <c r="B266" s="164"/>
      <c r="C266" s="164"/>
      <c r="D266" s="164"/>
      <c r="E266" s="164"/>
      <c r="F266" s="164"/>
      <c r="G266" s="158"/>
      <c r="H266" s="158"/>
    </row>
    <row r="267" ht="15.75" customHeight="1">
      <c r="B267" s="164"/>
      <c r="C267" s="164"/>
      <c r="D267" s="164"/>
      <c r="E267" s="164"/>
      <c r="F267" s="164"/>
      <c r="G267" s="158"/>
      <c r="H267" s="158"/>
    </row>
    <row r="268" ht="15.75" customHeight="1">
      <c r="B268" s="164"/>
      <c r="C268" s="164"/>
      <c r="D268" s="164"/>
      <c r="E268" s="164"/>
      <c r="F268" s="164"/>
      <c r="G268" s="158"/>
      <c r="H268" s="158"/>
    </row>
    <row r="269" ht="15.75" customHeight="1">
      <c r="B269" s="164"/>
      <c r="C269" s="164"/>
      <c r="D269" s="164"/>
      <c r="E269" s="164"/>
      <c r="F269" s="164"/>
      <c r="G269" s="158"/>
      <c r="H269" s="158"/>
    </row>
    <row r="270" ht="15.75" customHeight="1">
      <c r="B270" s="164"/>
      <c r="C270" s="164"/>
      <c r="D270" s="164"/>
      <c r="E270" s="164"/>
      <c r="F270" s="164"/>
      <c r="G270" s="158"/>
      <c r="H270" s="158"/>
    </row>
    <row r="271" ht="15.75" customHeight="1">
      <c r="B271" s="164"/>
      <c r="C271" s="164"/>
      <c r="D271" s="164"/>
      <c r="E271" s="164"/>
      <c r="F271" s="164"/>
      <c r="G271" s="158"/>
      <c r="H271" s="158"/>
    </row>
    <row r="272" ht="15.75" customHeight="1">
      <c r="B272" s="164"/>
      <c r="C272" s="164"/>
      <c r="D272" s="164"/>
      <c r="E272" s="164"/>
      <c r="F272" s="164"/>
      <c r="G272" s="158"/>
      <c r="H272" s="158"/>
    </row>
    <row r="273" ht="15.75" customHeight="1">
      <c r="B273" s="164"/>
      <c r="C273" s="164"/>
      <c r="D273" s="164"/>
      <c r="E273" s="164"/>
      <c r="F273" s="164"/>
      <c r="G273" s="158"/>
      <c r="H273" s="158"/>
    </row>
    <row r="274" ht="15.75" customHeight="1">
      <c r="B274" s="164"/>
      <c r="C274" s="164"/>
      <c r="D274" s="164"/>
      <c r="E274" s="164"/>
      <c r="F274" s="164"/>
      <c r="G274" s="158"/>
      <c r="H274" s="158"/>
    </row>
    <row r="275" ht="15.75" customHeight="1">
      <c r="B275" s="164"/>
      <c r="C275" s="164"/>
      <c r="D275" s="164"/>
      <c r="E275" s="164"/>
      <c r="F275" s="164"/>
      <c r="G275" s="158"/>
      <c r="H275" s="158"/>
    </row>
    <row r="276" ht="15.75" customHeight="1">
      <c r="B276" s="164"/>
      <c r="C276" s="164"/>
      <c r="D276" s="164"/>
      <c r="E276" s="164"/>
      <c r="F276" s="164"/>
      <c r="G276" s="158"/>
      <c r="H276" s="158"/>
    </row>
    <row r="277" ht="15.75" customHeight="1">
      <c r="B277" s="164"/>
      <c r="C277" s="164"/>
      <c r="D277" s="164"/>
      <c r="E277" s="164"/>
      <c r="F277" s="164"/>
      <c r="G277" s="158"/>
      <c r="H277" s="158"/>
    </row>
    <row r="278" ht="15.75" customHeight="1">
      <c r="B278" s="164"/>
      <c r="C278" s="164"/>
      <c r="D278" s="164"/>
      <c r="E278" s="164"/>
      <c r="F278" s="164"/>
      <c r="G278" s="158"/>
      <c r="H278" s="158"/>
    </row>
    <row r="279" ht="15.75" customHeight="1">
      <c r="B279" s="164"/>
      <c r="C279" s="164"/>
      <c r="D279" s="164"/>
      <c r="E279" s="164"/>
      <c r="F279" s="164"/>
      <c r="G279" s="158"/>
      <c r="H279" s="158"/>
    </row>
    <row r="280" ht="15.75" customHeight="1">
      <c r="B280" s="164"/>
      <c r="C280" s="164"/>
      <c r="D280" s="164"/>
      <c r="E280" s="164"/>
      <c r="F280" s="164"/>
      <c r="G280" s="158"/>
      <c r="H280" s="158"/>
    </row>
    <row r="281" ht="15.75" customHeight="1">
      <c r="B281" s="164"/>
      <c r="C281" s="164"/>
      <c r="D281" s="164"/>
      <c r="E281" s="164"/>
      <c r="F281" s="164"/>
      <c r="G281" s="158"/>
      <c r="H281" s="158"/>
    </row>
    <row r="282" ht="15.75" customHeight="1">
      <c r="B282" s="164"/>
      <c r="C282" s="164"/>
      <c r="D282" s="164"/>
      <c r="E282" s="164"/>
      <c r="F282" s="164"/>
      <c r="G282" s="158"/>
      <c r="H282" s="158"/>
    </row>
    <row r="283" ht="15.75" customHeight="1">
      <c r="B283" s="164"/>
      <c r="C283" s="164"/>
      <c r="D283" s="164"/>
      <c r="E283" s="164"/>
      <c r="F283" s="164"/>
      <c r="G283" s="158"/>
      <c r="H283" s="158"/>
    </row>
    <row r="284" ht="15.75" customHeight="1">
      <c r="B284" s="164"/>
      <c r="C284" s="164"/>
      <c r="D284" s="164"/>
      <c r="E284" s="164"/>
      <c r="F284" s="164"/>
      <c r="G284" s="158"/>
      <c r="H284" s="158"/>
    </row>
    <row r="285" ht="15.75" customHeight="1">
      <c r="B285" s="164"/>
      <c r="C285" s="164"/>
      <c r="D285" s="164"/>
      <c r="E285" s="164"/>
      <c r="F285" s="164"/>
      <c r="G285" s="158"/>
      <c r="H285" s="158"/>
    </row>
    <row r="286" ht="15.75" customHeight="1">
      <c r="B286" s="164"/>
      <c r="C286" s="164"/>
      <c r="D286" s="164"/>
      <c r="E286" s="164"/>
      <c r="F286" s="164"/>
      <c r="G286" s="158"/>
      <c r="H286" s="158"/>
    </row>
    <row r="287" ht="15.75" customHeight="1">
      <c r="B287" s="164"/>
      <c r="C287" s="164"/>
      <c r="D287" s="164"/>
      <c r="E287" s="164"/>
      <c r="F287" s="164"/>
      <c r="G287" s="158"/>
      <c r="H287" s="158"/>
    </row>
    <row r="288" ht="15.75" customHeight="1">
      <c r="B288" s="164"/>
      <c r="C288" s="164"/>
      <c r="D288" s="164"/>
      <c r="E288" s="164"/>
      <c r="F288" s="164"/>
      <c r="G288" s="158"/>
      <c r="H288" s="158"/>
    </row>
    <row r="289" ht="15.75" customHeight="1">
      <c r="B289" s="164"/>
      <c r="C289" s="164"/>
      <c r="D289" s="164"/>
      <c r="E289" s="164"/>
      <c r="F289" s="164"/>
      <c r="G289" s="158"/>
      <c r="H289" s="158"/>
    </row>
    <row r="290" ht="15.75" customHeight="1">
      <c r="B290" s="164"/>
      <c r="C290" s="164"/>
      <c r="D290" s="164"/>
      <c r="E290" s="164"/>
      <c r="F290" s="164"/>
      <c r="G290" s="158"/>
      <c r="H290" s="158"/>
    </row>
    <row r="291" ht="15.75" customHeight="1">
      <c r="B291" s="164"/>
      <c r="C291" s="164"/>
      <c r="D291" s="164"/>
      <c r="E291" s="164"/>
      <c r="F291" s="164"/>
      <c r="G291" s="158"/>
      <c r="H291" s="158"/>
    </row>
    <row r="292" ht="15.75" customHeight="1">
      <c r="B292" s="164"/>
      <c r="C292" s="164"/>
      <c r="D292" s="164"/>
      <c r="E292" s="164"/>
      <c r="F292" s="164"/>
      <c r="G292" s="158"/>
      <c r="H292" s="158"/>
    </row>
    <row r="293" ht="15.75" customHeight="1">
      <c r="B293" s="164"/>
      <c r="C293" s="164"/>
      <c r="D293" s="164"/>
      <c r="E293" s="164"/>
      <c r="F293" s="164"/>
      <c r="G293" s="158"/>
      <c r="H293" s="158"/>
    </row>
    <row r="294" ht="15.75" customHeight="1">
      <c r="B294" s="164"/>
      <c r="C294" s="164"/>
      <c r="D294" s="164"/>
      <c r="E294" s="164"/>
      <c r="F294" s="164"/>
      <c r="G294" s="158"/>
      <c r="H294" s="158"/>
    </row>
    <row r="295" ht="15.75" customHeight="1">
      <c r="B295" s="164"/>
      <c r="C295" s="164"/>
      <c r="D295" s="164"/>
      <c r="E295" s="164"/>
      <c r="F295" s="164"/>
      <c r="G295" s="158"/>
      <c r="H295" s="158"/>
    </row>
    <row r="296" ht="15.75" customHeight="1">
      <c r="B296" s="164"/>
      <c r="C296" s="164"/>
      <c r="D296" s="164"/>
      <c r="E296" s="164"/>
      <c r="F296" s="164"/>
      <c r="G296" s="158"/>
      <c r="H296" s="158"/>
    </row>
    <row r="297" ht="15.75" customHeight="1">
      <c r="B297" s="164"/>
      <c r="C297" s="164"/>
      <c r="D297" s="164"/>
      <c r="E297" s="164"/>
      <c r="F297" s="164"/>
      <c r="G297" s="158"/>
      <c r="H297" s="158"/>
    </row>
    <row r="298" ht="15.75" customHeight="1">
      <c r="B298" s="164"/>
      <c r="C298" s="164"/>
      <c r="D298" s="164"/>
      <c r="E298" s="164"/>
      <c r="F298" s="164"/>
      <c r="G298" s="158"/>
      <c r="H298" s="158"/>
    </row>
    <row r="299" ht="15.75" customHeight="1">
      <c r="B299" s="164"/>
      <c r="C299" s="164"/>
      <c r="D299" s="164"/>
      <c r="E299" s="164"/>
      <c r="F299" s="164"/>
      <c r="G299" s="158"/>
      <c r="H299" s="158"/>
    </row>
    <row r="300" ht="15.75" customHeight="1">
      <c r="B300" s="164"/>
      <c r="C300" s="164"/>
      <c r="D300" s="164"/>
      <c r="E300" s="164"/>
      <c r="F300" s="164"/>
      <c r="G300" s="158"/>
      <c r="H300" s="158"/>
    </row>
    <row r="301" ht="15.75" customHeight="1">
      <c r="B301" s="164"/>
      <c r="C301" s="164"/>
      <c r="D301" s="164"/>
      <c r="E301" s="164"/>
      <c r="F301" s="164"/>
      <c r="G301" s="158"/>
      <c r="H301" s="158"/>
    </row>
    <row r="302" ht="15.75" customHeight="1">
      <c r="B302" s="164"/>
      <c r="C302" s="164"/>
      <c r="D302" s="164"/>
      <c r="E302" s="164"/>
      <c r="F302" s="164"/>
      <c r="G302" s="158"/>
      <c r="H302" s="158"/>
    </row>
    <row r="303" ht="15.75" customHeight="1">
      <c r="B303" s="164"/>
      <c r="C303" s="164"/>
      <c r="D303" s="164"/>
      <c r="E303" s="164"/>
      <c r="F303" s="164"/>
      <c r="G303" s="158"/>
      <c r="H303" s="158"/>
    </row>
    <row r="304" ht="15.75" customHeight="1">
      <c r="B304" s="164"/>
      <c r="C304" s="164"/>
      <c r="D304" s="164"/>
      <c r="E304" s="164"/>
      <c r="F304" s="164"/>
      <c r="G304" s="158"/>
      <c r="H304" s="158"/>
    </row>
    <row r="305" ht="15.75" customHeight="1">
      <c r="B305" s="164"/>
      <c r="C305" s="164"/>
      <c r="D305" s="164"/>
      <c r="E305" s="164"/>
      <c r="F305" s="164"/>
      <c r="G305" s="158"/>
      <c r="H305" s="158"/>
    </row>
    <row r="306" ht="15.75" customHeight="1">
      <c r="B306" s="164"/>
      <c r="C306" s="164"/>
      <c r="D306" s="164"/>
      <c r="E306" s="164"/>
      <c r="F306" s="164"/>
      <c r="G306" s="158"/>
      <c r="H306" s="158"/>
    </row>
    <row r="307" ht="15.75" customHeight="1">
      <c r="B307" s="164"/>
      <c r="C307" s="164"/>
      <c r="D307" s="164"/>
      <c r="E307" s="164"/>
      <c r="F307" s="164"/>
      <c r="G307" s="158"/>
      <c r="H307" s="158"/>
    </row>
    <row r="308" ht="15.75" customHeight="1">
      <c r="B308" s="164"/>
      <c r="C308" s="164"/>
      <c r="D308" s="164"/>
      <c r="E308" s="164"/>
      <c r="F308" s="164"/>
      <c r="G308" s="158"/>
      <c r="H308" s="158"/>
    </row>
    <row r="309" ht="15.75" customHeight="1">
      <c r="B309" s="164"/>
      <c r="C309" s="164"/>
      <c r="D309" s="164"/>
      <c r="E309" s="164"/>
      <c r="F309" s="164"/>
      <c r="G309" s="158"/>
      <c r="H309" s="158"/>
    </row>
    <row r="310" ht="15.75" customHeight="1">
      <c r="B310" s="164"/>
      <c r="C310" s="164"/>
      <c r="D310" s="164"/>
      <c r="E310" s="164"/>
      <c r="F310" s="164"/>
      <c r="G310" s="158"/>
      <c r="H310" s="158"/>
    </row>
    <row r="311" ht="15.75" customHeight="1">
      <c r="B311" s="164"/>
      <c r="C311" s="164"/>
      <c r="D311" s="164"/>
      <c r="E311" s="164"/>
      <c r="F311" s="164"/>
      <c r="G311" s="158"/>
      <c r="H311" s="158"/>
    </row>
    <row r="312" ht="15.75" customHeight="1">
      <c r="B312" s="164"/>
      <c r="C312" s="164"/>
      <c r="D312" s="164"/>
      <c r="E312" s="164"/>
      <c r="F312" s="164"/>
      <c r="G312" s="158"/>
      <c r="H312" s="158"/>
    </row>
    <row r="313" ht="15.75" customHeight="1">
      <c r="B313" s="164"/>
      <c r="C313" s="164"/>
      <c r="D313" s="164"/>
      <c r="E313" s="164"/>
      <c r="F313" s="164"/>
      <c r="G313" s="158"/>
      <c r="H313" s="158"/>
    </row>
    <row r="314" ht="15.75" customHeight="1">
      <c r="B314" s="164"/>
      <c r="C314" s="164"/>
      <c r="D314" s="164"/>
      <c r="E314" s="164"/>
      <c r="F314" s="164"/>
      <c r="G314" s="158"/>
      <c r="H314" s="158"/>
    </row>
    <row r="315" ht="15.75" customHeight="1">
      <c r="B315" s="164"/>
      <c r="C315" s="164"/>
      <c r="D315" s="164"/>
      <c r="E315" s="164"/>
      <c r="F315" s="164"/>
      <c r="G315" s="158"/>
      <c r="H315" s="158"/>
    </row>
    <row r="316" ht="15.75" customHeight="1">
      <c r="B316" s="164"/>
      <c r="C316" s="164"/>
      <c r="D316" s="164"/>
      <c r="E316" s="164"/>
      <c r="F316" s="164"/>
      <c r="G316" s="158"/>
      <c r="H316" s="158"/>
    </row>
    <row r="317" ht="15.75" customHeight="1">
      <c r="B317" s="164"/>
      <c r="C317" s="164"/>
      <c r="D317" s="164"/>
      <c r="E317" s="164"/>
      <c r="F317" s="164"/>
      <c r="G317" s="158"/>
      <c r="H317" s="158"/>
    </row>
    <row r="318" ht="15.75" customHeight="1">
      <c r="B318" s="164"/>
      <c r="C318" s="164"/>
      <c r="D318" s="164"/>
      <c r="E318" s="164"/>
      <c r="F318" s="164"/>
      <c r="G318" s="158"/>
      <c r="H318" s="158"/>
    </row>
    <row r="319" ht="15.75" customHeight="1">
      <c r="B319" s="164"/>
      <c r="C319" s="164"/>
      <c r="D319" s="164"/>
      <c r="E319" s="164"/>
      <c r="F319" s="164"/>
      <c r="G319" s="158"/>
      <c r="H319" s="158"/>
    </row>
    <row r="320" ht="15.75" customHeight="1">
      <c r="B320" s="164"/>
      <c r="C320" s="164"/>
      <c r="D320" s="164"/>
      <c r="E320" s="164"/>
      <c r="F320" s="164"/>
      <c r="G320" s="158"/>
      <c r="H320" s="158"/>
    </row>
    <row r="321" ht="15.75" customHeight="1">
      <c r="B321" s="164"/>
      <c r="C321" s="164"/>
      <c r="D321" s="164"/>
      <c r="E321" s="164"/>
      <c r="F321" s="164"/>
      <c r="G321" s="158"/>
      <c r="H321" s="158"/>
    </row>
    <row r="322" ht="15.75" customHeight="1">
      <c r="B322" s="164"/>
      <c r="C322" s="164"/>
      <c r="D322" s="164"/>
      <c r="E322" s="164"/>
      <c r="F322" s="164"/>
      <c r="G322" s="158"/>
      <c r="H322" s="158"/>
    </row>
    <row r="323" ht="15.75" customHeight="1">
      <c r="B323" s="164"/>
      <c r="C323" s="164"/>
      <c r="D323" s="164"/>
      <c r="E323" s="164"/>
      <c r="F323" s="164"/>
      <c r="G323" s="158"/>
      <c r="H323" s="158"/>
    </row>
    <row r="324" ht="15.75" customHeight="1">
      <c r="B324" s="164"/>
      <c r="C324" s="164"/>
      <c r="D324" s="164"/>
      <c r="E324" s="164"/>
      <c r="F324" s="164"/>
      <c r="G324" s="158"/>
      <c r="H324" s="158"/>
    </row>
    <row r="325" ht="15.75" customHeight="1">
      <c r="B325" s="164"/>
      <c r="C325" s="164"/>
      <c r="D325" s="164"/>
      <c r="E325" s="164"/>
      <c r="F325" s="164"/>
      <c r="G325" s="158"/>
      <c r="H325" s="158"/>
    </row>
    <row r="326" ht="15.75" customHeight="1">
      <c r="B326" s="164"/>
      <c r="C326" s="164"/>
      <c r="D326" s="164"/>
      <c r="E326" s="164"/>
      <c r="F326" s="164"/>
      <c r="G326" s="158"/>
      <c r="H326" s="158"/>
    </row>
    <row r="327" ht="15.75" customHeight="1">
      <c r="B327" s="164"/>
      <c r="C327" s="164"/>
      <c r="D327" s="164"/>
      <c r="E327" s="164"/>
      <c r="F327" s="164"/>
      <c r="G327" s="158"/>
      <c r="H327" s="158"/>
    </row>
    <row r="328" ht="15.75" customHeight="1">
      <c r="B328" s="164"/>
      <c r="C328" s="164"/>
      <c r="D328" s="164"/>
      <c r="E328" s="164"/>
      <c r="F328" s="164"/>
      <c r="G328" s="158"/>
      <c r="H328" s="158"/>
    </row>
    <row r="329" ht="15.75" customHeight="1">
      <c r="B329" s="164"/>
      <c r="C329" s="164"/>
      <c r="D329" s="164"/>
      <c r="E329" s="164"/>
      <c r="F329" s="164"/>
      <c r="G329" s="158"/>
      <c r="H329" s="158"/>
    </row>
    <row r="330" ht="15.75" customHeight="1">
      <c r="B330" s="164"/>
      <c r="C330" s="164"/>
      <c r="D330" s="164"/>
      <c r="E330" s="164"/>
      <c r="F330" s="164"/>
      <c r="G330" s="158"/>
      <c r="H330" s="158"/>
    </row>
    <row r="331" ht="15.75" customHeight="1">
      <c r="B331" s="164"/>
      <c r="C331" s="164"/>
      <c r="D331" s="164"/>
      <c r="E331" s="164"/>
      <c r="F331" s="164"/>
      <c r="G331" s="158"/>
      <c r="H331" s="158"/>
    </row>
    <row r="332" ht="15.75" customHeight="1">
      <c r="B332" s="164"/>
      <c r="C332" s="164"/>
      <c r="D332" s="164"/>
      <c r="E332" s="164"/>
      <c r="F332" s="164"/>
      <c r="G332" s="158"/>
      <c r="H332" s="158"/>
    </row>
    <row r="333" ht="15.75" customHeight="1">
      <c r="B333" s="164"/>
      <c r="C333" s="164"/>
      <c r="D333" s="164"/>
      <c r="E333" s="164"/>
      <c r="F333" s="164"/>
      <c r="G333" s="158"/>
      <c r="H333" s="158"/>
    </row>
    <row r="334" ht="15.75" customHeight="1">
      <c r="B334" s="164"/>
      <c r="C334" s="164"/>
      <c r="D334" s="164"/>
      <c r="E334" s="164"/>
      <c r="F334" s="164"/>
      <c r="G334" s="158"/>
      <c r="H334" s="158"/>
    </row>
    <row r="335" ht="15.75" customHeight="1">
      <c r="B335" s="164"/>
      <c r="C335" s="164"/>
      <c r="D335" s="164"/>
      <c r="E335" s="164"/>
      <c r="F335" s="164"/>
      <c r="G335" s="158"/>
      <c r="H335" s="158"/>
    </row>
    <row r="336" ht="15.75" customHeight="1">
      <c r="B336" s="164"/>
      <c r="C336" s="164"/>
      <c r="D336" s="164"/>
      <c r="E336" s="164"/>
      <c r="F336" s="164"/>
      <c r="G336" s="158"/>
      <c r="H336" s="158"/>
    </row>
    <row r="337" ht="15.75" customHeight="1">
      <c r="B337" s="164"/>
      <c r="C337" s="164"/>
      <c r="D337" s="164"/>
      <c r="E337" s="164"/>
      <c r="F337" s="164"/>
      <c r="G337" s="158"/>
      <c r="H337" s="158"/>
    </row>
    <row r="338" ht="15.75" customHeight="1">
      <c r="B338" s="164"/>
      <c r="C338" s="164"/>
      <c r="D338" s="164"/>
      <c r="E338" s="164"/>
      <c r="F338" s="164"/>
      <c r="G338" s="158"/>
      <c r="H338" s="158"/>
    </row>
    <row r="339" ht="15.75" customHeight="1">
      <c r="B339" s="164"/>
      <c r="C339" s="164"/>
      <c r="D339" s="164"/>
      <c r="E339" s="164"/>
      <c r="F339" s="164"/>
      <c r="G339" s="158"/>
      <c r="H339" s="158"/>
    </row>
    <row r="340" ht="15.75" customHeight="1">
      <c r="B340" s="164"/>
      <c r="C340" s="164"/>
      <c r="D340" s="164"/>
      <c r="E340" s="164"/>
      <c r="F340" s="164"/>
      <c r="G340" s="158"/>
      <c r="H340" s="158"/>
    </row>
    <row r="341" ht="15.75" customHeight="1">
      <c r="B341" s="164"/>
      <c r="C341" s="164"/>
      <c r="D341" s="164"/>
      <c r="E341" s="164"/>
      <c r="F341" s="164"/>
      <c r="G341" s="158"/>
      <c r="H341" s="158"/>
    </row>
    <row r="342" ht="15.75" customHeight="1">
      <c r="B342" s="164"/>
      <c r="C342" s="164"/>
      <c r="D342" s="164"/>
      <c r="E342" s="164"/>
      <c r="F342" s="164"/>
      <c r="G342" s="158"/>
      <c r="H342" s="158"/>
    </row>
    <row r="343" ht="15.75" customHeight="1">
      <c r="B343" s="164"/>
      <c r="C343" s="164"/>
      <c r="D343" s="164"/>
      <c r="E343" s="164"/>
      <c r="F343" s="164"/>
      <c r="G343" s="158"/>
      <c r="H343" s="158"/>
    </row>
    <row r="344" ht="15.75" customHeight="1">
      <c r="B344" s="164"/>
      <c r="C344" s="164"/>
      <c r="D344" s="164"/>
      <c r="E344" s="164"/>
      <c r="F344" s="164"/>
      <c r="G344" s="158"/>
      <c r="H344" s="158"/>
    </row>
    <row r="345" ht="15.75" customHeight="1">
      <c r="B345" s="164"/>
      <c r="C345" s="164"/>
      <c r="D345" s="164"/>
      <c r="E345" s="164"/>
      <c r="F345" s="164"/>
      <c r="G345" s="158"/>
      <c r="H345" s="158"/>
    </row>
    <row r="346" ht="15.75" customHeight="1">
      <c r="B346" s="164"/>
      <c r="C346" s="164"/>
      <c r="D346" s="164"/>
      <c r="E346" s="164"/>
      <c r="F346" s="164"/>
      <c r="G346" s="158"/>
      <c r="H346" s="158"/>
    </row>
    <row r="347" ht="15.75" customHeight="1">
      <c r="B347" s="164"/>
      <c r="C347" s="164"/>
      <c r="D347" s="164"/>
      <c r="E347" s="164"/>
      <c r="F347" s="164"/>
      <c r="G347" s="158"/>
      <c r="H347" s="158"/>
    </row>
    <row r="348" ht="15.75" customHeight="1">
      <c r="B348" s="164"/>
      <c r="C348" s="164"/>
      <c r="D348" s="164"/>
      <c r="E348" s="164"/>
      <c r="F348" s="164"/>
      <c r="G348" s="158"/>
      <c r="H348" s="158"/>
    </row>
    <row r="349" ht="15.75" customHeight="1">
      <c r="B349" s="164"/>
      <c r="C349" s="164"/>
      <c r="D349" s="164"/>
      <c r="E349" s="164"/>
      <c r="F349" s="164"/>
      <c r="G349" s="158"/>
      <c r="H349" s="158"/>
    </row>
    <row r="350" ht="15.75" customHeight="1">
      <c r="B350" s="164"/>
      <c r="C350" s="164"/>
      <c r="D350" s="164"/>
      <c r="E350" s="164"/>
      <c r="F350" s="164"/>
      <c r="G350" s="158"/>
      <c r="H350" s="158"/>
    </row>
    <row r="351" ht="15.75" customHeight="1">
      <c r="B351" s="164"/>
      <c r="C351" s="164"/>
      <c r="D351" s="164"/>
      <c r="E351" s="164"/>
      <c r="F351" s="164"/>
      <c r="G351" s="158"/>
      <c r="H351" s="158"/>
    </row>
    <row r="352" ht="15.75" customHeight="1">
      <c r="B352" s="164"/>
      <c r="C352" s="164"/>
      <c r="D352" s="164"/>
      <c r="E352" s="164"/>
      <c r="F352" s="164"/>
      <c r="G352" s="158"/>
      <c r="H352" s="158"/>
    </row>
    <row r="353" ht="15.75" customHeight="1">
      <c r="B353" s="164"/>
      <c r="C353" s="164"/>
      <c r="D353" s="164"/>
      <c r="E353" s="164"/>
      <c r="F353" s="164"/>
      <c r="G353" s="158"/>
      <c r="H353" s="158"/>
    </row>
    <row r="354" ht="15.75" customHeight="1">
      <c r="B354" s="164"/>
      <c r="C354" s="164"/>
      <c r="D354" s="164"/>
      <c r="E354" s="164"/>
      <c r="F354" s="164"/>
      <c r="G354" s="158"/>
      <c r="H354" s="158"/>
    </row>
    <row r="355" ht="15.75" customHeight="1">
      <c r="B355" s="164"/>
      <c r="C355" s="164"/>
      <c r="D355" s="164"/>
      <c r="E355" s="164"/>
      <c r="F355" s="164"/>
      <c r="G355" s="158"/>
      <c r="H355" s="158"/>
    </row>
    <row r="356" ht="15.75" customHeight="1">
      <c r="B356" s="164"/>
      <c r="C356" s="164"/>
      <c r="D356" s="164"/>
      <c r="E356" s="164"/>
      <c r="F356" s="164"/>
      <c r="G356" s="158"/>
      <c r="H356" s="158"/>
    </row>
    <row r="357" ht="15.75" customHeight="1">
      <c r="B357" s="164"/>
      <c r="C357" s="164"/>
      <c r="D357" s="164"/>
      <c r="E357" s="164"/>
      <c r="F357" s="164"/>
      <c r="G357" s="158"/>
      <c r="H357" s="158"/>
    </row>
    <row r="358" ht="15.75" customHeight="1">
      <c r="B358" s="164"/>
      <c r="C358" s="164"/>
      <c r="D358" s="164"/>
      <c r="E358" s="164"/>
      <c r="F358" s="164"/>
      <c r="G358" s="158"/>
      <c r="H358" s="158"/>
    </row>
    <row r="359" ht="15.75" customHeight="1">
      <c r="B359" s="164"/>
      <c r="C359" s="164"/>
      <c r="D359" s="164"/>
      <c r="E359" s="164"/>
      <c r="F359" s="164"/>
      <c r="G359" s="158"/>
      <c r="H359" s="158"/>
    </row>
    <row r="360" ht="15.75" customHeight="1">
      <c r="B360" s="164"/>
      <c r="C360" s="164"/>
      <c r="D360" s="164"/>
      <c r="E360" s="164"/>
      <c r="F360" s="164"/>
      <c r="G360" s="158"/>
      <c r="H360" s="158"/>
    </row>
    <row r="361" ht="15.75" customHeight="1">
      <c r="B361" s="164"/>
      <c r="C361" s="164"/>
      <c r="D361" s="164"/>
      <c r="E361" s="164"/>
      <c r="F361" s="164"/>
      <c r="G361" s="158"/>
      <c r="H361" s="158"/>
    </row>
    <row r="362" ht="15.75" customHeight="1">
      <c r="B362" s="164"/>
      <c r="C362" s="164"/>
      <c r="D362" s="164"/>
      <c r="E362" s="164"/>
      <c r="F362" s="164"/>
      <c r="G362" s="158"/>
      <c r="H362" s="158"/>
    </row>
    <row r="363" ht="15.75" customHeight="1">
      <c r="B363" s="164"/>
      <c r="C363" s="164"/>
      <c r="D363" s="164"/>
      <c r="E363" s="164"/>
      <c r="F363" s="164"/>
      <c r="G363" s="158"/>
      <c r="H363" s="158"/>
    </row>
    <row r="364" ht="15.75" customHeight="1">
      <c r="B364" s="164"/>
      <c r="C364" s="164"/>
      <c r="D364" s="164"/>
      <c r="E364" s="164"/>
      <c r="F364" s="164"/>
      <c r="G364" s="158"/>
      <c r="H364" s="158"/>
    </row>
    <row r="365" ht="15.75" customHeight="1">
      <c r="B365" s="164"/>
      <c r="C365" s="164"/>
      <c r="D365" s="164"/>
      <c r="E365" s="164"/>
      <c r="F365" s="164"/>
      <c r="G365" s="158"/>
      <c r="H365" s="158"/>
    </row>
    <row r="366" ht="15.75" customHeight="1">
      <c r="B366" s="164"/>
      <c r="C366" s="164"/>
      <c r="D366" s="164"/>
      <c r="E366" s="164"/>
      <c r="F366" s="164"/>
      <c r="G366" s="158"/>
      <c r="H366" s="158"/>
    </row>
    <row r="367" ht="15.75" customHeight="1">
      <c r="B367" s="164"/>
      <c r="C367" s="164"/>
      <c r="D367" s="164"/>
      <c r="E367" s="164"/>
      <c r="F367" s="164"/>
      <c r="G367" s="158"/>
      <c r="H367" s="158"/>
    </row>
    <row r="368" ht="15.75" customHeight="1">
      <c r="B368" s="164"/>
      <c r="C368" s="164"/>
      <c r="D368" s="164"/>
      <c r="E368" s="164"/>
      <c r="F368" s="164"/>
      <c r="G368" s="158"/>
      <c r="H368" s="158"/>
    </row>
    <row r="369" ht="15.75" customHeight="1">
      <c r="B369" s="164"/>
      <c r="C369" s="164"/>
      <c r="D369" s="164"/>
      <c r="E369" s="164"/>
      <c r="F369" s="164"/>
      <c r="G369" s="158"/>
      <c r="H369" s="158"/>
    </row>
    <row r="370" ht="15.75" customHeight="1">
      <c r="B370" s="164"/>
      <c r="C370" s="164"/>
      <c r="D370" s="164"/>
      <c r="E370" s="164"/>
      <c r="F370" s="164"/>
      <c r="G370" s="158"/>
      <c r="H370" s="158"/>
    </row>
    <row r="371" ht="15.75" customHeight="1">
      <c r="B371" s="164"/>
      <c r="C371" s="164"/>
      <c r="D371" s="164"/>
      <c r="E371" s="164"/>
      <c r="F371" s="164"/>
      <c r="G371" s="158"/>
      <c r="H371" s="158"/>
    </row>
    <row r="372" ht="15.75" customHeight="1">
      <c r="B372" s="164"/>
      <c r="C372" s="164"/>
      <c r="D372" s="164"/>
      <c r="E372" s="164"/>
      <c r="F372" s="164"/>
      <c r="G372" s="158"/>
      <c r="H372" s="158"/>
    </row>
    <row r="373" ht="15.75" customHeight="1">
      <c r="B373" s="164"/>
      <c r="C373" s="164"/>
      <c r="D373" s="164"/>
      <c r="E373" s="164"/>
      <c r="F373" s="164"/>
      <c r="G373" s="158"/>
      <c r="H373" s="158"/>
    </row>
    <row r="374" ht="15.75" customHeight="1">
      <c r="B374" s="164"/>
      <c r="C374" s="164"/>
      <c r="D374" s="164"/>
      <c r="E374" s="164"/>
      <c r="F374" s="164"/>
      <c r="G374" s="158"/>
      <c r="H374" s="158"/>
    </row>
    <row r="375" ht="15.75" customHeight="1">
      <c r="B375" s="164"/>
      <c r="C375" s="164"/>
      <c r="D375" s="164"/>
      <c r="E375" s="164"/>
      <c r="F375" s="164"/>
      <c r="G375" s="158"/>
      <c r="H375" s="158"/>
    </row>
    <row r="376" ht="15.75" customHeight="1">
      <c r="B376" s="164"/>
      <c r="C376" s="164"/>
      <c r="D376" s="164"/>
      <c r="E376" s="164"/>
      <c r="F376" s="164"/>
      <c r="G376" s="158"/>
      <c r="H376" s="158"/>
    </row>
    <row r="377" ht="15.75" customHeight="1">
      <c r="B377" s="164"/>
      <c r="C377" s="164"/>
      <c r="D377" s="164"/>
      <c r="E377" s="164"/>
      <c r="F377" s="164"/>
      <c r="G377" s="158"/>
      <c r="H377" s="158"/>
    </row>
    <row r="378" ht="15.75" customHeight="1">
      <c r="B378" s="164"/>
      <c r="C378" s="164"/>
      <c r="D378" s="164"/>
      <c r="E378" s="164"/>
      <c r="F378" s="164"/>
      <c r="G378" s="158"/>
      <c r="H378" s="158"/>
    </row>
    <row r="379" ht="15.75" customHeight="1">
      <c r="B379" s="164"/>
      <c r="C379" s="164"/>
      <c r="D379" s="164"/>
      <c r="E379" s="164"/>
      <c r="F379" s="164"/>
      <c r="G379" s="158"/>
      <c r="H379" s="158"/>
    </row>
    <row r="380" ht="15.75" customHeight="1">
      <c r="B380" s="164"/>
      <c r="C380" s="164"/>
      <c r="D380" s="164"/>
      <c r="E380" s="164"/>
      <c r="F380" s="164"/>
      <c r="G380" s="158"/>
      <c r="H380" s="158"/>
    </row>
    <row r="381" ht="15.75" customHeight="1">
      <c r="B381" s="164"/>
      <c r="C381" s="164"/>
      <c r="D381" s="164"/>
      <c r="E381" s="164"/>
      <c r="F381" s="164"/>
      <c r="G381" s="158"/>
      <c r="H381" s="158"/>
    </row>
    <row r="382" ht="15.75" customHeight="1">
      <c r="B382" s="164"/>
      <c r="C382" s="164"/>
      <c r="D382" s="164"/>
      <c r="E382" s="164"/>
      <c r="F382" s="164"/>
      <c r="G382" s="158"/>
      <c r="H382" s="158"/>
    </row>
    <row r="383" ht="15.75" customHeight="1">
      <c r="B383" s="164"/>
      <c r="C383" s="164"/>
      <c r="D383" s="164"/>
      <c r="E383" s="164"/>
      <c r="F383" s="164"/>
      <c r="G383" s="158"/>
      <c r="H383" s="158"/>
    </row>
    <row r="384" ht="15.75" customHeight="1">
      <c r="B384" s="164"/>
      <c r="C384" s="164"/>
      <c r="D384" s="164"/>
      <c r="E384" s="164"/>
      <c r="F384" s="164"/>
      <c r="G384" s="158"/>
      <c r="H384" s="158"/>
    </row>
    <row r="385" ht="15.75" customHeight="1">
      <c r="B385" s="164"/>
      <c r="C385" s="164"/>
      <c r="D385" s="164"/>
      <c r="E385" s="164"/>
      <c r="F385" s="164"/>
      <c r="G385" s="158"/>
      <c r="H385" s="158"/>
    </row>
    <row r="386" ht="15.75" customHeight="1">
      <c r="B386" s="164"/>
      <c r="C386" s="164"/>
      <c r="D386" s="164"/>
      <c r="E386" s="164"/>
      <c r="F386" s="164"/>
      <c r="G386" s="158"/>
      <c r="H386" s="158"/>
    </row>
    <row r="387" ht="15.75" customHeight="1">
      <c r="B387" s="164"/>
      <c r="C387" s="164"/>
      <c r="D387" s="164"/>
      <c r="E387" s="164"/>
      <c r="F387" s="164"/>
      <c r="G387" s="158"/>
      <c r="H387" s="158"/>
    </row>
    <row r="388" ht="15.75" customHeight="1">
      <c r="B388" s="164"/>
      <c r="C388" s="164"/>
      <c r="D388" s="164"/>
      <c r="E388" s="164"/>
      <c r="F388" s="164"/>
      <c r="G388" s="158"/>
      <c r="H388" s="158"/>
    </row>
    <row r="389" ht="15.75" customHeight="1">
      <c r="B389" s="164"/>
      <c r="C389" s="164"/>
      <c r="D389" s="164"/>
      <c r="E389" s="164"/>
      <c r="F389" s="164"/>
      <c r="G389" s="158"/>
      <c r="H389" s="158"/>
    </row>
    <row r="390" ht="15.75" customHeight="1">
      <c r="B390" s="164"/>
      <c r="C390" s="164"/>
      <c r="D390" s="164"/>
      <c r="E390" s="164"/>
      <c r="F390" s="164"/>
      <c r="G390" s="158"/>
      <c r="H390" s="158"/>
    </row>
    <row r="391" ht="15.75" customHeight="1">
      <c r="B391" s="164"/>
      <c r="C391" s="164"/>
      <c r="D391" s="164"/>
      <c r="E391" s="164"/>
      <c r="F391" s="164"/>
      <c r="G391" s="158"/>
      <c r="H391" s="158"/>
    </row>
    <row r="392" ht="15.75" customHeight="1">
      <c r="B392" s="164"/>
      <c r="C392" s="164"/>
      <c r="D392" s="164"/>
      <c r="E392" s="164"/>
      <c r="F392" s="164"/>
      <c r="G392" s="158"/>
      <c r="H392" s="158"/>
    </row>
    <row r="393" ht="15.75" customHeight="1">
      <c r="B393" s="164"/>
      <c r="C393" s="164"/>
      <c r="D393" s="164"/>
      <c r="E393" s="164"/>
      <c r="F393" s="164"/>
      <c r="G393" s="158"/>
      <c r="H393" s="158"/>
    </row>
    <row r="394" ht="15.75" customHeight="1">
      <c r="B394" s="164"/>
      <c r="C394" s="164"/>
      <c r="D394" s="164"/>
      <c r="E394" s="164"/>
      <c r="F394" s="164"/>
      <c r="G394" s="158"/>
      <c r="H394" s="158"/>
    </row>
    <row r="395" ht="15.75" customHeight="1">
      <c r="B395" s="164"/>
      <c r="C395" s="164"/>
      <c r="D395" s="164"/>
      <c r="E395" s="164"/>
      <c r="F395" s="164"/>
      <c r="G395" s="158"/>
      <c r="H395" s="158"/>
    </row>
    <row r="396" ht="15.75" customHeight="1">
      <c r="B396" s="164"/>
      <c r="C396" s="164"/>
      <c r="D396" s="164"/>
      <c r="E396" s="164"/>
      <c r="F396" s="164"/>
      <c r="G396" s="158"/>
      <c r="H396" s="158"/>
    </row>
    <row r="397" ht="15.75" customHeight="1">
      <c r="B397" s="164"/>
      <c r="C397" s="164"/>
      <c r="D397" s="164"/>
      <c r="E397" s="164"/>
      <c r="F397" s="164"/>
      <c r="G397" s="158"/>
      <c r="H397" s="158"/>
    </row>
    <row r="398" ht="15.75" customHeight="1">
      <c r="B398" s="164"/>
      <c r="C398" s="164"/>
      <c r="D398" s="164"/>
      <c r="E398" s="164"/>
      <c r="F398" s="164"/>
      <c r="G398" s="158"/>
      <c r="H398" s="158"/>
    </row>
    <row r="399" ht="15.75" customHeight="1">
      <c r="B399" s="164"/>
      <c r="C399" s="164"/>
      <c r="D399" s="164"/>
      <c r="E399" s="164"/>
      <c r="F399" s="164"/>
      <c r="G399" s="158"/>
      <c r="H399" s="158"/>
    </row>
    <row r="400" ht="15.75" customHeight="1">
      <c r="B400" s="164"/>
      <c r="C400" s="164"/>
      <c r="D400" s="164"/>
      <c r="E400" s="164"/>
      <c r="F400" s="164"/>
      <c r="G400" s="158"/>
      <c r="H400" s="158"/>
    </row>
    <row r="401" ht="15.75" customHeight="1">
      <c r="B401" s="164"/>
      <c r="C401" s="164"/>
      <c r="D401" s="164"/>
      <c r="E401" s="164"/>
      <c r="F401" s="164"/>
      <c r="G401" s="158"/>
      <c r="H401" s="158"/>
    </row>
    <row r="402" ht="15.75" customHeight="1">
      <c r="B402" s="164"/>
      <c r="C402" s="164"/>
      <c r="D402" s="164"/>
      <c r="E402" s="164"/>
      <c r="F402" s="164"/>
      <c r="G402" s="158"/>
      <c r="H402" s="158"/>
    </row>
    <row r="403" ht="15.75" customHeight="1">
      <c r="B403" s="164"/>
      <c r="C403" s="164"/>
      <c r="D403" s="164"/>
      <c r="E403" s="164"/>
      <c r="F403" s="164"/>
      <c r="G403" s="158"/>
      <c r="H403" s="158"/>
    </row>
    <row r="404" ht="15.75" customHeight="1">
      <c r="B404" s="164"/>
      <c r="C404" s="164"/>
      <c r="D404" s="164"/>
      <c r="E404" s="164"/>
      <c r="F404" s="164"/>
      <c r="G404" s="158"/>
      <c r="H404" s="158"/>
    </row>
    <row r="405" ht="15.75" customHeight="1">
      <c r="B405" s="164"/>
      <c r="C405" s="164"/>
      <c r="D405" s="164"/>
      <c r="E405" s="164"/>
      <c r="F405" s="164"/>
      <c r="G405" s="158"/>
      <c r="H405" s="158"/>
    </row>
    <row r="406" ht="15.75" customHeight="1">
      <c r="B406" s="164"/>
      <c r="C406" s="164"/>
      <c r="D406" s="164"/>
      <c r="E406" s="164"/>
      <c r="F406" s="164"/>
      <c r="G406" s="158"/>
      <c r="H406" s="158"/>
    </row>
    <row r="407" ht="15.75" customHeight="1">
      <c r="B407" s="164"/>
      <c r="C407" s="164"/>
      <c r="D407" s="164"/>
      <c r="E407" s="164"/>
      <c r="F407" s="164"/>
      <c r="G407" s="158"/>
      <c r="H407" s="158"/>
    </row>
    <row r="408" ht="15.75" customHeight="1">
      <c r="B408" s="164"/>
      <c r="C408" s="164"/>
      <c r="D408" s="164"/>
      <c r="E408" s="164"/>
      <c r="F408" s="164"/>
      <c r="G408" s="158"/>
      <c r="H408" s="158"/>
    </row>
    <row r="409" ht="15.75" customHeight="1">
      <c r="B409" s="164"/>
      <c r="C409" s="164"/>
      <c r="D409" s="164"/>
      <c r="E409" s="164"/>
      <c r="F409" s="164"/>
      <c r="G409" s="158"/>
      <c r="H409" s="158"/>
    </row>
    <row r="410" ht="15.75" customHeight="1">
      <c r="B410" s="164"/>
      <c r="C410" s="164"/>
      <c r="D410" s="164"/>
      <c r="E410" s="164"/>
      <c r="F410" s="164"/>
      <c r="G410" s="158"/>
      <c r="H410" s="158"/>
    </row>
    <row r="411" ht="15.75" customHeight="1">
      <c r="B411" s="164"/>
      <c r="C411" s="164"/>
      <c r="D411" s="164"/>
      <c r="E411" s="164"/>
      <c r="F411" s="164"/>
      <c r="G411" s="158"/>
      <c r="H411" s="158"/>
    </row>
    <row r="412" ht="15.75" customHeight="1">
      <c r="B412" s="164"/>
      <c r="C412" s="164"/>
      <c r="D412" s="164"/>
      <c r="E412" s="164"/>
      <c r="F412" s="164"/>
      <c r="G412" s="158"/>
      <c r="H412" s="158"/>
    </row>
    <row r="413" ht="15.75" customHeight="1">
      <c r="B413" s="164"/>
      <c r="C413" s="164"/>
      <c r="D413" s="164"/>
      <c r="E413" s="164"/>
      <c r="F413" s="164"/>
      <c r="G413" s="158"/>
      <c r="H413" s="158"/>
    </row>
    <row r="414" ht="15.75" customHeight="1">
      <c r="B414" s="164"/>
      <c r="C414" s="164"/>
      <c r="D414" s="164"/>
      <c r="E414" s="164"/>
      <c r="F414" s="164"/>
      <c r="G414" s="158"/>
      <c r="H414" s="158"/>
    </row>
    <row r="415" ht="15.75" customHeight="1">
      <c r="B415" s="164"/>
      <c r="C415" s="164"/>
      <c r="D415" s="164"/>
      <c r="E415" s="164"/>
      <c r="F415" s="164"/>
      <c r="G415" s="158"/>
      <c r="H415" s="158"/>
    </row>
    <row r="416" ht="15.75" customHeight="1">
      <c r="B416" s="164"/>
      <c r="C416" s="164"/>
      <c r="D416" s="164"/>
      <c r="E416" s="164"/>
      <c r="F416" s="164"/>
      <c r="G416" s="158"/>
      <c r="H416" s="158"/>
    </row>
    <row r="417" ht="15.75" customHeight="1">
      <c r="B417" s="164"/>
      <c r="C417" s="164"/>
      <c r="D417" s="164"/>
      <c r="E417" s="164"/>
      <c r="F417" s="164"/>
      <c r="G417" s="158"/>
      <c r="H417" s="158"/>
    </row>
    <row r="418" ht="15.75" customHeight="1">
      <c r="B418" s="164"/>
      <c r="C418" s="164"/>
      <c r="D418" s="164"/>
      <c r="E418" s="164"/>
      <c r="F418" s="164"/>
      <c r="G418" s="158"/>
      <c r="H418" s="158"/>
    </row>
    <row r="419" ht="15.75" customHeight="1">
      <c r="B419" s="164"/>
      <c r="C419" s="164"/>
      <c r="D419" s="164"/>
      <c r="E419" s="164"/>
      <c r="F419" s="164"/>
      <c r="G419" s="158"/>
      <c r="H419" s="158"/>
    </row>
    <row r="420" ht="15.75" customHeight="1">
      <c r="B420" s="164"/>
      <c r="C420" s="164"/>
      <c r="D420" s="164"/>
      <c r="E420" s="164"/>
      <c r="F420" s="164"/>
      <c r="G420" s="158"/>
      <c r="H420" s="158"/>
    </row>
    <row r="421" ht="15.75" customHeight="1">
      <c r="B421" s="164"/>
      <c r="C421" s="164"/>
      <c r="D421" s="164"/>
      <c r="E421" s="164"/>
      <c r="F421" s="164"/>
      <c r="G421" s="158"/>
      <c r="H421" s="158"/>
    </row>
    <row r="422" ht="15.75" customHeight="1">
      <c r="B422" s="164"/>
      <c r="C422" s="164"/>
      <c r="D422" s="164"/>
      <c r="E422" s="164"/>
      <c r="F422" s="164"/>
      <c r="G422" s="158"/>
      <c r="H422" s="158"/>
    </row>
    <row r="423" ht="15.75" customHeight="1">
      <c r="B423" s="164"/>
      <c r="C423" s="164"/>
      <c r="D423" s="164"/>
      <c r="E423" s="164"/>
      <c r="F423" s="164"/>
      <c r="G423" s="158"/>
      <c r="H423" s="158"/>
    </row>
    <row r="424" ht="15.75" customHeight="1">
      <c r="B424" s="164"/>
      <c r="C424" s="164"/>
      <c r="D424" s="164"/>
      <c r="E424" s="164"/>
      <c r="F424" s="164"/>
      <c r="G424" s="158"/>
      <c r="H424" s="158"/>
    </row>
    <row r="425" ht="15.75" customHeight="1">
      <c r="B425" s="164"/>
      <c r="C425" s="164"/>
      <c r="D425" s="164"/>
      <c r="E425" s="164"/>
      <c r="F425" s="164"/>
      <c r="G425" s="158"/>
      <c r="H425" s="158"/>
    </row>
    <row r="426" ht="15.75" customHeight="1">
      <c r="B426" s="164"/>
      <c r="C426" s="164"/>
      <c r="D426" s="164"/>
      <c r="E426" s="164"/>
      <c r="F426" s="164"/>
      <c r="G426" s="158"/>
      <c r="H426" s="158"/>
    </row>
    <row r="427" ht="15.75" customHeight="1">
      <c r="B427" s="164"/>
      <c r="C427" s="164"/>
      <c r="D427" s="164"/>
      <c r="E427" s="164"/>
      <c r="F427" s="164"/>
      <c r="G427" s="158"/>
      <c r="H427" s="158"/>
    </row>
    <row r="428" ht="15.75" customHeight="1">
      <c r="B428" s="164"/>
      <c r="C428" s="164"/>
      <c r="D428" s="164"/>
      <c r="E428" s="164"/>
      <c r="F428" s="164"/>
      <c r="G428" s="158"/>
      <c r="H428" s="158"/>
    </row>
    <row r="429" ht="15.75" customHeight="1">
      <c r="B429" s="164"/>
      <c r="C429" s="164"/>
      <c r="D429" s="164"/>
      <c r="E429" s="164"/>
      <c r="F429" s="164"/>
      <c r="G429" s="158"/>
      <c r="H429" s="158"/>
    </row>
    <row r="430" ht="15.75" customHeight="1">
      <c r="B430" s="164"/>
      <c r="C430" s="164"/>
      <c r="D430" s="164"/>
      <c r="E430" s="164"/>
      <c r="F430" s="164"/>
      <c r="G430" s="158"/>
      <c r="H430" s="158"/>
    </row>
    <row r="431" ht="15.75" customHeight="1">
      <c r="B431" s="164"/>
      <c r="C431" s="164"/>
      <c r="D431" s="164"/>
      <c r="E431" s="164"/>
      <c r="F431" s="164"/>
      <c r="G431" s="158"/>
      <c r="H431" s="158"/>
    </row>
    <row r="432" ht="15.75" customHeight="1">
      <c r="B432" s="164"/>
      <c r="C432" s="164"/>
      <c r="D432" s="164"/>
      <c r="E432" s="164"/>
      <c r="F432" s="164"/>
      <c r="G432" s="158"/>
      <c r="H432" s="158"/>
    </row>
    <row r="433" ht="15.75" customHeight="1">
      <c r="B433" s="164"/>
      <c r="C433" s="164"/>
      <c r="D433" s="164"/>
      <c r="E433" s="164"/>
      <c r="F433" s="164"/>
      <c r="G433" s="158"/>
      <c r="H433" s="158"/>
    </row>
    <row r="434" ht="15.75" customHeight="1">
      <c r="B434" s="164"/>
      <c r="C434" s="164"/>
      <c r="D434" s="164"/>
      <c r="E434" s="164"/>
      <c r="F434" s="164"/>
      <c r="G434" s="158"/>
      <c r="H434" s="158"/>
    </row>
    <row r="435" ht="15.75" customHeight="1">
      <c r="B435" s="164"/>
      <c r="C435" s="164"/>
      <c r="D435" s="164"/>
      <c r="E435" s="164"/>
      <c r="F435" s="164"/>
      <c r="G435" s="158"/>
      <c r="H435" s="158"/>
    </row>
    <row r="436" ht="15.75" customHeight="1">
      <c r="B436" s="164"/>
      <c r="C436" s="164"/>
      <c r="D436" s="164"/>
      <c r="E436" s="164"/>
      <c r="F436" s="164"/>
      <c r="G436" s="158"/>
      <c r="H436" s="158"/>
    </row>
    <row r="437" ht="15.75" customHeight="1">
      <c r="B437" s="164"/>
      <c r="C437" s="164"/>
      <c r="D437" s="164"/>
      <c r="E437" s="164"/>
      <c r="F437" s="164"/>
      <c r="G437" s="158"/>
      <c r="H437" s="158"/>
    </row>
    <row r="438" ht="15.75" customHeight="1">
      <c r="B438" s="164"/>
      <c r="C438" s="164"/>
      <c r="D438" s="164"/>
      <c r="E438" s="164"/>
      <c r="F438" s="164"/>
      <c r="G438" s="158"/>
      <c r="H438" s="158"/>
    </row>
    <row r="439" ht="15.75" customHeight="1">
      <c r="B439" s="164"/>
      <c r="C439" s="164"/>
      <c r="D439" s="164"/>
      <c r="E439" s="164"/>
      <c r="F439" s="164"/>
      <c r="G439" s="158"/>
      <c r="H439" s="158"/>
    </row>
    <row r="440" ht="15.75" customHeight="1">
      <c r="B440" s="164"/>
      <c r="C440" s="164"/>
      <c r="D440" s="164"/>
      <c r="E440" s="164"/>
      <c r="F440" s="164"/>
      <c r="G440" s="158"/>
      <c r="H440" s="158"/>
    </row>
    <row r="441" ht="15.75" customHeight="1">
      <c r="B441" s="164"/>
      <c r="C441" s="164"/>
      <c r="D441" s="164"/>
      <c r="E441" s="164"/>
      <c r="F441" s="164"/>
      <c r="G441" s="158"/>
      <c r="H441" s="158"/>
    </row>
    <row r="442" ht="15.75" customHeight="1">
      <c r="B442" s="164"/>
      <c r="C442" s="164"/>
      <c r="D442" s="164"/>
      <c r="E442" s="164"/>
      <c r="F442" s="164"/>
      <c r="G442" s="158"/>
      <c r="H442" s="158"/>
    </row>
    <row r="443" ht="15.75" customHeight="1">
      <c r="B443" s="164"/>
      <c r="C443" s="164"/>
      <c r="D443" s="164"/>
      <c r="E443" s="164"/>
      <c r="F443" s="164"/>
      <c r="G443" s="158"/>
      <c r="H443" s="158"/>
    </row>
    <row r="444" ht="15.75" customHeight="1">
      <c r="B444" s="164"/>
      <c r="C444" s="164"/>
      <c r="D444" s="164"/>
      <c r="E444" s="164"/>
      <c r="F444" s="164"/>
      <c r="G444" s="158"/>
      <c r="H444" s="158"/>
    </row>
    <row r="445" ht="15.75" customHeight="1">
      <c r="B445" s="164"/>
      <c r="C445" s="164"/>
      <c r="D445" s="164"/>
      <c r="E445" s="164"/>
      <c r="F445" s="164"/>
      <c r="G445" s="158"/>
      <c r="H445" s="158"/>
    </row>
    <row r="446" ht="15.75" customHeight="1">
      <c r="B446" s="164"/>
      <c r="C446" s="164"/>
      <c r="D446" s="164"/>
      <c r="E446" s="164"/>
      <c r="F446" s="164"/>
      <c r="G446" s="158"/>
      <c r="H446" s="158"/>
    </row>
    <row r="447" ht="15.75" customHeight="1">
      <c r="B447" s="164"/>
      <c r="C447" s="164"/>
      <c r="D447" s="164"/>
      <c r="E447" s="164"/>
      <c r="F447" s="164"/>
      <c r="G447" s="158"/>
      <c r="H447" s="158"/>
    </row>
    <row r="448" ht="15.75" customHeight="1">
      <c r="B448" s="164"/>
      <c r="C448" s="164"/>
      <c r="D448" s="164"/>
      <c r="E448" s="164"/>
      <c r="F448" s="164"/>
      <c r="G448" s="158"/>
      <c r="H448" s="158"/>
    </row>
    <row r="449" ht="15.75" customHeight="1">
      <c r="B449" s="164"/>
      <c r="C449" s="164"/>
      <c r="D449" s="164"/>
      <c r="E449" s="164"/>
      <c r="F449" s="164"/>
      <c r="G449" s="158"/>
      <c r="H449" s="158"/>
    </row>
    <row r="450" ht="15.75" customHeight="1">
      <c r="B450" s="164"/>
      <c r="C450" s="164"/>
      <c r="D450" s="164"/>
      <c r="E450" s="164"/>
      <c r="F450" s="164"/>
      <c r="G450" s="158"/>
      <c r="H450" s="158"/>
    </row>
    <row r="451" ht="15.75" customHeight="1">
      <c r="B451" s="164"/>
      <c r="C451" s="164"/>
      <c r="D451" s="164"/>
      <c r="E451" s="164"/>
      <c r="F451" s="164"/>
      <c r="G451" s="158"/>
      <c r="H451" s="158"/>
    </row>
    <row r="452" ht="15.75" customHeight="1">
      <c r="B452" s="164"/>
      <c r="C452" s="164"/>
      <c r="D452" s="164"/>
      <c r="E452" s="164"/>
      <c r="F452" s="164"/>
      <c r="G452" s="158"/>
      <c r="H452" s="158"/>
    </row>
    <row r="453" ht="15.75" customHeight="1">
      <c r="B453" s="164"/>
      <c r="C453" s="164"/>
      <c r="D453" s="164"/>
      <c r="E453" s="164"/>
      <c r="F453" s="164"/>
      <c r="G453" s="158"/>
      <c r="H453" s="158"/>
    </row>
    <row r="454" ht="15.75" customHeight="1">
      <c r="B454" s="164"/>
      <c r="C454" s="164"/>
      <c r="D454" s="164"/>
      <c r="E454" s="164"/>
      <c r="F454" s="164"/>
      <c r="G454" s="158"/>
      <c r="H454" s="158"/>
    </row>
    <row r="455" ht="15.75" customHeight="1">
      <c r="B455" s="164"/>
      <c r="C455" s="164"/>
      <c r="D455" s="164"/>
      <c r="E455" s="164"/>
      <c r="F455" s="164"/>
      <c r="G455" s="158"/>
      <c r="H455" s="158"/>
    </row>
    <row r="456" ht="15.75" customHeight="1">
      <c r="B456" s="164"/>
      <c r="C456" s="164"/>
      <c r="D456" s="164"/>
      <c r="E456" s="164"/>
      <c r="F456" s="164"/>
      <c r="G456" s="158"/>
      <c r="H456" s="158"/>
    </row>
    <row r="457" ht="15.75" customHeight="1">
      <c r="B457" s="164"/>
      <c r="C457" s="164"/>
      <c r="D457" s="164"/>
      <c r="E457" s="164"/>
      <c r="F457" s="164"/>
      <c r="G457" s="158"/>
      <c r="H457" s="158"/>
    </row>
    <row r="458" ht="15.75" customHeight="1">
      <c r="B458" s="164"/>
      <c r="C458" s="164"/>
      <c r="D458" s="164"/>
      <c r="E458" s="164"/>
      <c r="F458" s="164"/>
      <c r="G458" s="158"/>
      <c r="H458" s="158"/>
    </row>
    <row r="459" ht="15.75" customHeight="1">
      <c r="B459" s="164"/>
      <c r="C459" s="164"/>
      <c r="D459" s="164"/>
      <c r="E459" s="164"/>
      <c r="F459" s="164"/>
      <c r="G459" s="158"/>
      <c r="H459" s="158"/>
    </row>
    <row r="460" ht="15.75" customHeight="1">
      <c r="B460" s="164"/>
      <c r="C460" s="164"/>
      <c r="D460" s="164"/>
      <c r="E460" s="164"/>
      <c r="F460" s="164"/>
      <c r="G460" s="158"/>
      <c r="H460" s="158"/>
    </row>
    <row r="461" ht="15.75" customHeight="1">
      <c r="B461" s="164"/>
      <c r="C461" s="164"/>
      <c r="D461" s="164"/>
      <c r="E461" s="164"/>
      <c r="F461" s="164"/>
      <c r="G461" s="158"/>
      <c r="H461" s="158"/>
    </row>
    <row r="462" ht="15.75" customHeight="1">
      <c r="B462" s="164"/>
      <c r="C462" s="164"/>
      <c r="D462" s="164"/>
      <c r="E462" s="164"/>
      <c r="F462" s="164"/>
      <c r="G462" s="158"/>
      <c r="H462" s="158"/>
    </row>
    <row r="463" ht="15.75" customHeight="1">
      <c r="B463" s="164"/>
      <c r="C463" s="164"/>
      <c r="D463" s="164"/>
      <c r="E463" s="164"/>
      <c r="F463" s="164"/>
      <c r="G463" s="158"/>
      <c r="H463" s="158"/>
    </row>
    <row r="464" ht="15.75" customHeight="1">
      <c r="B464" s="164"/>
      <c r="C464" s="164"/>
      <c r="D464" s="164"/>
      <c r="E464" s="164"/>
      <c r="F464" s="164"/>
      <c r="G464" s="158"/>
      <c r="H464" s="158"/>
    </row>
    <row r="465" ht="15.75" customHeight="1">
      <c r="B465" s="164"/>
      <c r="C465" s="164"/>
      <c r="D465" s="164"/>
      <c r="E465" s="164"/>
      <c r="F465" s="164"/>
      <c r="G465" s="158"/>
      <c r="H465" s="158"/>
    </row>
    <row r="466" ht="15.75" customHeight="1">
      <c r="B466" s="164"/>
      <c r="C466" s="164"/>
      <c r="D466" s="164"/>
      <c r="E466" s="164"/>
      <c r="F466" s="164"/>
      <c r="G466" s="158"/>
      <c r="H466" s="158"/>
    </row>
    <row r="467" ht="15.75" customHeight="1">
      <c r="B467" s="164"/>
      <c r="C467" s="164"/>
      <c r="D467" s="164"/>
      <c r="E467" s="164"/>
      <c r="F467" s="164"/>
      <c r="G467" s="158"/>
      <c r="H467" s="158"/>
    </row>
    <row r="468" ht="15.75" customHeight="1">
      <c r="B468" s="164"/>
      <c r="C468" s="164"/>
      <c r="D468" s="164"/>
      <c r="E468" s="164"/>
      <c r="F468" s="164"/>
      <c r="G468" s="158"/>
      <c r="H468" s="158"/>
    </row>
    <row r="469" ht="15.75" customHeight="1">
      <c r="B469" s="164"/>
      <c r="C469" s="164"/>
      <c r="D469" s="164"/>
      <c r="E469" s="164"/>
      <c r="F469" s="164"/>
      <c r="G469" s="158"/>
      <c r="H469" s="158"/>
    </row>
    <row r="470" ht="15.75" customHeight="1">
      <c r="B470" s="164"/>
      <c r="C470" s="164"/>
      <c r="D470" s="164"/>
      <c r="E470" s="164"/>
      <c r="F470" s="164"/>
      <c r="G470" s="158"/>
      <c r="H470" s="158"/>
    </row>
    <row r="471" ht="15.75" customHeight="1">
      <c r="B471" s="164"/>
      <c r="C471" s="164"/>
      <c r="D471" s="164"/>
      <c r="E471" s="164"/>
      <c r="F471" s="164"/>
      <c r="G471" s="158"/>
      <c r="H471" s="158"/>
    </row>
    <row r="472" ht="15.75" customHeight="1">
      <c r="B472" s="164"/>
      <c r="C472" s="164"/>
      <c r="D472" s="164"/>
      <c r="E472" s="164"/>
      <c r="F472" s="164"/>
      <c r="G472" s="158"/>
      <c r="H472" s="158"/>
    </row>
    <row r="473" ht="15.75" customHeight="1">
      <c r="B473" s="164"/>
      <c r="C473" s="164"/>
      <c r="D473" s="164"/>
      <c r="E473" s="164"/>
      <c r="F473" s="164"/>
      <c r="G473" s="158"/>
      <c r="H473" s="158"/>
    </row>
    <row r="474" ht="15.75" customHeight="1">
      <c r="B474" s="164"/>
      <c r="C474" s="164"/>
      <c r="D474" s="164"/>
      <c r="E474" s="164"/>
      <c r="F474" s="164"/>
      <c r="G474" s="158"/>
      <c r="H474" s="158"/>
    </row>
    <row r="475" ht="15.75" customHeight="1">
      <c r="B475" s="164"/>
      <c r="C475" s="164"/>
      <c r="D475" s="164"/>
      <c r="E475" s="164"/>
      <c r="F475" s="164"/>
      <c r="G475" s="158"/>
      <c r="H475" s="158"/>
    </row>
    <row r="476" ht="15.75" customHeight="1">
      <c r="B476" s="164"/>
      <c r="C476" s="164"/>
      <c r="D476" s="164"/>
      <c r="E476" s="164"/>
      <c r="F476" s="164"/>
      <c r="G476" s="158"/>
      <c r="H476" s="158"/>
    </row>
    <row r="477" ht="15.75" customHeight="1">
      <c r="B477" s="164"/>
      <c r="C477" s="164"/>
      <c r="D477" s="164"/>
      <c r="E477" s="164"/>
      <c r="F477" s="164"/>
      <c r="G477" s="158"/>
      <c r="H477" s="158"/>
    </row>
    <row r="478" ht="15.75" customHeight="1">
      <c r="B478" s="164"/>
      <c r="C478" s="164"/>
      <c r="D478" s="164"/>
      <c r="E478" s="164"/>
      <c r="F478" s="164"/>
      <c r="G478" s="158"/>
      <c r="H478" s="158"/>
    </row>
    <row r="479" ht="15.75" customHeight="1">
      <c r="B479" s="164"/>
      <c r="C479" s="164"/>
      <c r="D479" s="164"/>
      <c r="E479" s="164"/>
      <c r="F479" s="164"/>
      <c r="G479" s="158"/>
      <c r="H479" s="158"/>
    </row>
    <row r="480" ht="15.75" customHeight="1">
      <c r="B480" s="164"/>
      <c r="C480" s="164"/>
      <c r="D480" s="164"/>
      <c r="E480" s="164"/>
      <c r="F480" s="164"/>
      <c r="G480" s="158"/>
      <c r="H480" s="158"/>
    </row>
    <row r="481" ht="15.75" customHeight="1">
      <c r="B481" s="164"/>
      <c r="C481" s="164"/>
      <c r="D481" s="164"/>
      <c r="E481" s="164"/>
      <c r="F481" s="164"/>
      <c r="G481" s="158"/>
      <c r="H481" s="158"/>
    </row>
    <row r="482" ht="15.75" customHeight="1">
      <c r="B482" s="164"/>
      <c r="C482" s="164"/>
      <c r="D482" s="164"/>
      <c r="E482" s="164"/>
      <c r="F482" s="164"/>
      <c r="G482" s="158"/>
      <c r="H482" s="158"/>
    </row>
    <row r="483" ht="15.75" customHeight="1">
      <c r="B483" s="164"/>
      <c r="C483" s="164"/>
      <c r="D483" s="164"/>
      <c r="E483" s="164"/>
      <c r="F483" s="164"/>
      <c r="G483" s="158"/>
      <c r="H483" s="158"/>
    </row>
    <row r="484" ht="15.75" customHeight="1">
      <c r="B484" s="164"/>
      <c r="C484" s="164"/>
      <c r="D484" s="164"/>
      <c r="E484" s="164"/>
      <c r="F484" s="164"/>
      <c r="G484" s="158"/>
      <c r="H484" s="158"/>
    </row>
    <row r="485" ht="15.75" customHeight="1">
      <c r="B485" s="164"/>
      <c r="C485" s="164"/>
      <c r="D485" s="164"/>
      <c r="E485" s="164"/>
      <c r="F485" s="164"/>
      <c r="G485" s="158"/>
      <c r="H485" s="158"/>
    </row>
    <row r="486" ht="15.75" customHeight="1">
      <c r="B486" s="164"/>
      <c r="C486" s="164"/>
      <c r="D486" s="164"/>
      <c r="E486" s="164"/>
      <c r="F486" s="164"/>
      <c r="G486" s="158"/>
      <c r="H486" s="158"/>
    </row>
    <row r="487" ht="15.75" customHeight="1">
      <c r="B487" s="164"/>
      <c r="C487" s="164"/>
      <c r="D487" s="164"/>
      <c r="E487" s="164"/>
      <c r="F487" s="164"/>
      <c r="G487" s="158"/>
      <c r="H487" s="158"/>
    </row>
    <row r="488" ht="15.75" customHeight="1">
      <c r="B488" s="164"/>
      <c r="C488" s="164"/>
      <c r="D488" s="164"/>
      <c r="E488" s="164"/>
      <c r="F488" s="164"/>
      <c r="G488" s="158"/>
      <c r="H488" s="158"/>
    </row>
    <row r="489" ht="15.75" customHeight="1">
      <c r="B489" s="164"/>
      <c r="C489" s="164"/>
      <c r="D489" s="164"/>
      <c r="E489" s="164"/>
      <c r="F489" s="164"/>
      <c r="G489" s="158"/>
      <c r="H489" s="158"/>
    </row>
    <row r="490" ht="15.75" customHeight="1">
      <c r="B490" s="164"/>
      <c r="C490" s="164"/>
      <c r="D490" s="164"/>
      <c r="E490" s="164"/>
      <c r="F490" s="164"/>
      <c r="G490" s="158"/>
      <c r="H490" s="158"/>
    </row>
    <row r="491" ht="15.75" customHeight="1">
      <c r="B491" s="164"/>
      <c r="C491" s="164"/>
      <c r="D491" s="164"/>
      <c r="E491" s="164"/>
      <c r="F491" s="164"/>
      <c r="G491" s="158"/>
      <c r="H491" s="158"/>
    </row>
    <row r="492" ht="15.75" customHeight="1">
      <c r="B492" s="164"/>
      <c r="C492" s="164"/>
      <c r="D492" s="164"/>
      <c r="E492" s="164"/>
      <c r="F492" s="164"/>
      <c r="G492" s="158"/>
      <c r="H492" s="158"/>
    </row>
    <row r="493" ht="15.75" customHeight="1">
      <c r="B493" s="164"/>
      <c r="C493" s="164"/>
      <c r="D493" s="164"/>
      <c r="E493" s="164"/>
      <c r="F493" s="164"/>
      <c r="G493" s="158"/>
      <c r="H493" s="158"/>
    </row>
    <row r="494" ht="15.75" customHeight="1">
      <c r="B494" s="164"/>
      <c r="C494" s="164"/>
      <c r="D494" s="164"/>
      <c r="E494" s="164"/>
      <c r="F494" s="164"/>
      <c r="G494" s="158"/>
      <c r="H494" s="158"/>
    </row>
    <row r="495" ht="15.75" customHeight="1">
      <c r="B495" s="164"/>
      <c r="C495" s="164"/>
      <c r="D495" s="164"/>
      <c r="E495" s="164"/>
      <c r="F495" s="164"/>
      <c r="G495" s="158"/>
      <c r="H495" s="158"/>
    </row>
    <row r="496" ht="15.75" customHeight="1">
      <c r="B496" s="164"/>
      <c r="C496" s="164"/>
      <c r="D496" s="164"/>
      <c r="E496" s="164"/>
      <c r="F496" s="164"/>
      <c r="G496" s="158"/>
      <c r="H496" s="158"/>
    </row>
    <row r="497" ht="15.75" customHeight="1">
      <c r="B497" s="164"/>
      <c r="C497" s="164"/>
      <c r="D497" s="164"/>
      <c r="E497" s="164"/>
      <c r="F497" s="164"/>
      <c r="G497" s="158"/>
      <c r="H497" s="158"/>
    </row>
    <row r="498" ht="15.75" customHeight="1">
      <c r="B498" s="164"/>
      <c r="C498" s="164"/>
      <c r="D498" s="164"/>
      <c r="E498" s="164"/>
      <c r="F498" s="164"/>
      <c r="G498" s="158"/>
      <c r="H498" s="158"/>
    </row>
    <row r="499" ht="15.75" customHeight="1">
      <c r="B499" s="164"/>
      <c r="C499" s="164"/>
      <c r="D499" s="164"/>
      <c r="E499" s="164"/>
      <c r="F499" s="164"/>
      <c r="G499" s="158"/>
      <c r="H499" s="158"/>
    </row>
    <row r="500" ht="15.75" customHeight="1">
      <c r="B500" s="164"/>
      <c r="C500" s="164"/>
      <c r="D500" s="164"/>
      <c r="E500" s="164"/>
      <c r="F500" s="164"/>
      <c r="G500" s="158"/>
      <c r="H500" s="158"/>
    </row>
    <row r="501" ht="15.75" customHeight="1">
      <c r="B501" s="164"/>
      <c r="C501" s="164"/>
      <c r="D501" s="164"/>
      <c r="E501" s="164"/>
      <c r="F501" s="164"/>
      <c r="G501" s="158"/>
      <c r="H501" s="158"/>
    </row>
    <row r="502" ht="15.75" customHeight="1">
      <c r="B502" s="164"/>
      <c r="C502" s="164"/>
      <c r="D502" s="164"/>
      <c r="E502" s="164"/>
      <c r="F502" s="164"/>
      <c r="G502" s="158"/>
      <c r="H502" s="158"/>
    </row>
    <row r="503" ht="15.75" customHeight="1">
      <c r="B503" s="164"/>
      <c r="C503" s="164"/>
      <c r="D503" s="164"/>
      <c r="E503" s="164"/>
      <c r="F503" s="164"/>
      <c r="G503" s="158"/>
      <c r="H503" s="158"/>
    </row>
    <row r="504" ht="15.75" customHeight="1">
      <c r="B504" s="164"/>
      <c r="C504" s="164"/>
      <c r="D504" s="164"/>
      <c r="E504" s="164"/>
      <c r="F504" s="164"/>
      <c r="G504" s="158"/>
      <c r="H504" s="158"/>
    </row>
    <row r="505" ht="15.75" customHeight="1">
      <c r="B505" s="164"/>
      <c r="C505" s="164"/>
      <c r="D505" s="164"/>
      <c r="E505" s="164"/>
      <c r="F505" s="164"/>
      <c r="G505" s="158"/>
      <c r="H505" s="158"/>
    </row>
    <row r="506" ht="15.75" customHeight="1">
      <c r="B506" s="164"/>
      <c r="C506" s="164"/>
      <c r="D506" s="164"/>
      <c r="E506" s="164"/>
      <c r="F506" s="164"/>
      <c r="G506" s="158"/>
      <c r="H506" s="158"/>
    </row>
    <row r="507" ht="15.75" customHeight="1">
      <c r="B507" s="164"/>
      <c r="C507" s="164"/>
      <c r="D507" s="164"/>
      <c r="E507" s="164"/>
      <c r="F507" s="164"/>
      <c r="G507" s="158"/>
      <c r="H507" s="158"/>
    </row>
    <row r="508" ht="15.75" customHeight="1">
      <c r="B508" s="164"/>
      <c r="C508" s="164"/>
      <c r="D508" s="164"/>
      <c r="E508" s="164"/>
      <c r="F508" s="164"/>
      <c r="G508" s="158"/>
      <c r="H508" s="158"/>
    </row>
    <row r="509" ht="15.75" customHeight="1">
      <c r="B509" s="164"/>
      <c r="C509" s="164"/>
      <c r="D509" s="164"/>
      <c r="E509" s="164"/>
      <c r="F509" s="164"/>
      <c r="G509" s="158"/>
      <c r="H509" s="158"/>
    </row>
    <row r="510" ht="15.75" customHeight="1">
      <c r="B510" s="164"/>
      <c r="C510" s="164"/>
      <c r="D510" s="164"/>
      <c r="E510" s="164"/>
      <c r="F510" s="164"/>
      <c r="G510" s="158"/>
      <c r="H510" s="158"/>
    </row>
    <row r="511" ht="15.75" customHeight="1">
      <c r="B511" s="164"/>
      <c r="C511" s="164"/>
      <c r="D511" s="164"/>
      <c r="E511" s="164"/>
      <c r="F511" s="164"/>
      <c r="G511" s="158"/>
      <c r="H511" s="158"/>
    </row>
    <row r="512" ht="15.75" customHeight="1">
      <c r="B512" s="164"/>
      <c r="C512" s="164"/>
      <c r="D512" s="164"/>
      <c r="E512" s="164"/>
      <c r="F512" s="164"/>
      <c r="G512" s="158"/>
      <c r="H512" s="158"/>
    </row>
    <row r="513" ht="15.75" customHeight="1">
      <c r="B513" s="164"/>
      <c r="C513" s="164"/>
      <c r="D513" s="164"/>
      <c r="E513" s="164"/>
      <c r="F513" s="164"/>
      <c r="G513" s="158"/>
      <c r="H513" s="158"/>
    </row>
    <row r="514" ht="15.75" customHeight="1">
      <c r="B514" s="164"/>
      <c r="C514" s="164"/>
      <c r="D514" s="164"/>
      <c r="E514" s="164"/>
      <c r="F514" s="164"/>
      <c r="G514" s="158"/>
      <c r="H514" s="158"/>
    </row>
    <row r="515" ht="15.75" customHeight="1">
      <c r="B515" s="164"/>
      <c r="C515" s="164"/>
      <c r="D515" s="164"/>
      <c r="E515" s="164"/>
      <c r="F515" s="164"/>
      <c r="G515" s="158"/>
      <c r="H515" s="158"/>
    </row>
    <row r="516" ht="15.75" customHeight="1">
      <c r="B516" s="164"/>
      <c r="C516" s="164"/>
      <c r="D516" s="164"/>
      <c r="E516" s="164"/>
      <c r="F516" s="164"/>
      <c r="G516" s="158"/>
      <c r="H516" s="158"/>
    </row>
    <row r="517" ht="15.75" customHeight="1">
      <c r="B517" s="164"/>
      <c r="C517" s="164"/>
      <c r="D517" s="164"/>
      <c r="E517" s="164"/>
      <c r="F517" s="164"/>
      <c r="G517" s="158"/>
      <c r="H517" s="158"/>
    </row>
    <row r="518" ht="15.75" customHeight="1">
      <c r="B518" s="164"/>
      <c r="C518" s="164"/>
      <c r="D518" s="164"/>
      <c r="E518" s="164"/>
      <c r="F518" s="164"/>
      <c r="G518" s="158"/>
      <c r="H518" s="158"/>
    </row>
    <row r="519" ht="15.75" customHeight="1">
      <c r="B519" s="164"/>
      <c r="C519" s="164"/>
      <c r="D519" s="164"/>
      <c r="E519" s="164"/>
      <c r="F519" s="164"/>
      <c r="G519" s="158"/>
      <c r="H519" s="158"/>
    </row>
    <row r="520" ht="15.75" customHeight="1">
      <c r="B520" s="164"/>
      <c r="C520" s="164"/>
      <c r="D520" s="164"/>
      <c r="E520" s="164"/>
      <c r="F520" s="164"/>
      <c r="G520" s="158"/>
      <c r="H520" s="158"/>
    </row>
    <row r="521" ht="15.75" customHeight="1">
      <c r="B521" s="164"/>
      <c r="C521" s="164"/>
      <c r="D521" s="164"/>
      <c r="E521" s="164"/>
      <c r="F521" s="164"/>
      <c r="G521" s="158"/>
      <c r="H521" s="158"/>
    </row>
    <row r="522" ht="15.75" customHeight="1">
      <c r="B522" s="164"/>
      <c r="C522" s="164"/>
      <c r="D522" s="164"/>
      <c r="E522" s="164"/>
      <c r="F522" s="164"/>
      <c r="G522" s="158"/>
      <c r="H522" s="158"/>
    </row>
    <row r="523" ht="15.75" customHeight="1">
      <c r="B523" s="164"/>
      <c r="C523" s="164"/>
      <c r="D523" s="164"/>
      <c r="E523" s="164"/>
      <c r="F523" s="164"/>
      <c r="G523" s="158"/>
      <c r="H523" s="158"/>
    </row>
    <row r="524" ht="15.75" customHeight="1">
      <c r="B524" s="164"/>
      <c r="C524" s="164"/>
      <c r="D524" s="164"/>
      <c r="E524" s="164"/>
      <c r="F524" s="164"/>
      <c r="G524" s="158"/>
      <c r="H524" s="158"/>
    </row>
    <row r="525" ht="15.75" customHeight="1">
      <c r="B525" s="164"/>
      <c r="C525" s="164"/>
      <c r="D525" s="164"/>
      <c r="E525" s="164"/>
      <c r="F525" s="164"/>
      <c r="G525" s="158"/>
      <c r="H525" s="158"/>
    </row>
    <row r="526" ht="15.75" customHeight="1">
      <c r="B526" s="164"/>
      <c r="C526" s="164"/>
      <c r="D526" s="164"/>
      <c r="E526" s="164"/>
      <c r="F526" s="164"/>
      <c r="G526" s="158"/>
      <c r="H526" s="158"/>
    </row>
    <row r="527" ht="15.75" customHeight="1">
      <c r="B527" s="164"/>
      <c r="C527" s="164"/>
      <c r="D527" s="164"/>
      <c r="E527" s="164"/>
      <c r="F527" s="164"/>
      <c r="G527" s="158"/>
      <c r="H527" s="158"/>
    </row>
    <row r="528" ht="15.75" customHeight="1">
      <c r="B528" s="164"/>
      <c r="C528" s="164"/>
      <c r="D528" s="164"/>
      <c r="E528" s="164"/>
      <c r="F528" s="164"/>
      <c r="G528" s="158"/>
      <c r="H528" s="158"/>
    </row>
    <row r="529" ht="15.75" customHeight="1">
      <c r="B529" s="164"/>
      <c r="C529" s="164"/>
      <c r="D529" s="164"/>
      <c r="E529" s="164"/>
      <c r="F529" s="164"/>
      <c r="G529" s="158"/>
      <c r="H529" s="158"/>
    </row>
    <row r="530" ht="15.75" customHeight="1">
      <c r="B530" s="164"/>
      <c r="C530" s="164"/>
      <c r="D530" s="164"/>
      <c r="E530" s="164"/>
      <c r="F530" s="164"/>
      <c r="G530" s="158"/>
      <c r="H530" s="158"/>
    </row>
    <row r="531" ht="15.75" customHeight="1">
      <c r="B531" s="164"/>
      <c r="C531" s="164"/>
      <c r="D531" s="164"/>
      <c r="E531" s="164"/>
      <c r="F531" s="164"/>
      <c r="G531" s="158"/>
      <c r="H531" s="158"/>
    </row>
    <row r="532" ht="15.75" customHeight="1">
      <c r="B532" s="164"/>
      <c r="C532" s="164"/>
      <c r="D532" s="164"/>
      <c r="E532" s="164"/>
      <c r="F532" s="164"/>
      <c r="G532" s="158"/>
      <c r="H532" s="158"/>
    </row>
    <row r="533" ht="15.75" customHeight="1">
      <c r="B533" s="164"/>
      <c r="C533" s="164"/>
      <c r="D533" s="164"/>
      <c r="E533" s="164"/>
      <c r="F533" s="164"/>
      <c r="G533" s="158"/>
      <c r="H533" s="158"/>
    </row>
    <row r="534" ht="15.75" customHeight="1">
      <c r="B534" s="164"/>
      <c r="C534" s="164"/>
      <c r="D534" s="164"/>
      <c r="E534" s="164"/>
      <c r="F534" s="164"/>
      <c r="G534" s="158"/>
      <c r="H534" s="158"/>
    </row>
    <row r="535" ht="15.75" customHeight="1">
      <c r="B535" s="164"/>
      <c r="C535" s="164"/>
      <c r="D535" s="164"/>
      <c r="E535" s="164"/>
      <c r="F535" s="164"/>
      <c r="G535" s="158"/>
      <c r="H535" s="158"/>
    </row>
    <row r="536" ht="15.75" customHeight="1">
      <c r="B536" s="164"/>
      <c r="C536" s="164"/>
      <c r="D536" s="164"/>
      <c r="E536" s="164"/>
      <c r="F536" s="164"/>
      <c r="G536" s="158"/>
      <c r="H536" s="158"/>
    </row>
    <row r="537" ht="15.75" customHeight="1">
      <c r="B537" s="164"/>
      <c r="C537" s="164"/>
      <c r="D537" s="164"/>
      <c r="E537" s="164"/>
      <c r="F537" s="164"/>
      <c r="G537" s="158"/>
      <c r="H537" s="158"/>
    </row>
    <row r="538" ht="15.75" customHeight="1">
      <c r="B538" s="164"/>
      <c r="C538" s="164"/>
      <c r="D538" s="164"/>
      <c r="E538" s="164"/>
      <c r="F538" s="164"/>
      <c r="G538" s="158"/>
      <c r="H538" s="158"/>
    </row>
    <row r="539" ht="15.75" customHeight="1">
      <c r="B539" s="164"/>
      <c r="C539" s="164"/>
      <c r="D539" s="164"/>
      <c r="E539" s="164"/>
      <c r="F539" s="164"/>
      <c r="G539" s="158"/>
      <c r="H539" s="158"/>
    </row>
    <row r="540" ht="15.75" customHeight="1">
      <c r="B540" s="164"/>
      <c r="C540" s="164"/>
      <c r="D540" s="164"/>
      <c r="E540" s="164"/>
      <c r="F540" s="164"/>
      <c r="G540" s="158"/>
      <c r="H540" s="158"/>
    </row>
    <row r="541" ht="15.75" customHeight="1">
      <c r="B541" s="164"/>
      <c r="C541" s="164"/>
      <c r="D541" s="164"/>
      <c r="E541" s="164"/>
      <c r="F541" s="164"/>
      <c r="G541" s="158"/>
      <c r="H541" s="158"/>
    </row>
    <row r="542" ht="15.75" customHeight="1">
      <c r="B542" s="164"/>
      <c r="C542" s="164"/>
      <c r="D542" s="164"/>
      <c r="E542" s="164"/>
      <c r="F542" s="164"/>
      <c r="G542" s="158"/>
      <c r="H542" s="158"/>
    </row>
    <row r="543" ht="15.75" customHeight="1">
      <c r="B543" s="164"/>
      <c r="C543" s="164"/>
      <c r="D543" s="164"/>
      <c r="E543" s="164"/>
      <c r="F543" s="164"/>
      <c r="G543" s="158"/>
      <c r="H543" s="158"/>
    </row>
    <row r="544" ht="15.75" customHeight="1">
      <c r="B544" s="164"/>
      <c r="C544" s="164"/>
      <c r="D544" s="164"/>
      <c r="E544" s="164"/>
      <c r="F544" s="164"/>
      <c r="G544" s="158"/>
      <c r="H544" s="158"/>
    </row>
    <row r="545" ht="15.75" customHeight="1">
      <c r="B545" s="164"/>
      <c r="C545" s="164"/>
      <c r="D545" s="164"/>
      <c r="E545" s="164"/>
      <c r="F545" s="164"/>
      <c r="G545" s="158"/>
      <c r="H545" s="158"/>
    </row>
    <row r="546" ht="15.75" customHeight="1">
      <c r="B546" s="164"/>
      <c r="C546" s="164"/>
      <c r="D546" s="164"/>
      <c r="E546" s="164"/>
      <c r="F546" s="164"/>
      <c r="G546" s="158"/>
      <c r="H546" s="158"/>
    </row>
    <row r="547" ht="15.75" customHeight="1">
      <c r="B547" s="164"/>
      <c r="C547" s="164"/>
      <c r="D547" s="164"/>
      <c r="E547" s="164"/>
      <c r="F547" s="164"/>
      <c r="G547" s="158"/>
      <c r="H547" s="158"/>
    </row>
    <row r="548" ht="15.75" customHeight="1">
      <c r="B548" s="164"/>
      <c r="C548" s="164"/>
      <c r="D548" s="164"/>
      <c r="E548" s="164"/>
      <c r="F548" s="164"/>
      <c r="G548" s="158"/>
      <c r="H548" s="158"/>
    </row>
    <row r="549" ht="15.75" customHeight="1">
      <c r="B549" s="164"/>
      <c r="C549" s="164"/>
      <c r="D549" s="164"/>
      <c r="E549" s="164"/>
      <c r="F549" s="164"/>
      <c r="G549" s="158"/>
      <c r="H549" s="158"/>
    </row>
    <row r="550" ht="15.75" customHeight="1">
      <c r="B550" s="164"/>
      <c r="C550" s="164"/>
      <c r="D550" s="164"/>
      <c r="E550" s="164"/>
      <c r="F550" s="164"/>
      <c r="G550" s="158"/>
      <c r="H550" s="158"/>
    </row>
    <row r="551" ht="15.75" customHeight="1">
      <c r="B551" s="164"/>
      <c r="C551" s="164"/>
      <c r="D551" s="164"/>
      <c r="E551" s="164"/>
      <c r="F551" s="164"/>
      <c r="G551" s="158"/>
      <c r="H551" s="158"/>
    </row>
    <row r="552" ht="15.75" customHeight="1">
      <c r="B552" s="164"/>
      <c r="C552" s="164"/>
      <c r="D552" s="164"/>
      <c r="E552" s="164"/>
      <c r="F552" s="164"/>
      <c r="G552" s="158"/>
      <c r="H552" s="158"/>
    </row>
    <row r="553" ht="15.75" customHeight="1">
      <c r="B553" s="164"/>
      <c r="C553" s="164"/>
      <c r="D553" s="164"/>
      <c r="E553" s="164"/>
      <c r="F553" s="164"/>
      <c r="G553" s="158"/>
      <c r="H553" s="158"/>
    </row>
    <row r="554" ht="15.75" customHeight="1">
      <c r="B554" s="164"/>
      <c r="C554" s="164"/>
      <c r="D554" s="164"/>
      <c r="E554" s="164"/>
      <c r="F554" s="164"/>
      <c r="G554" s="158"/>
      <c r="H554" s="158"/>
    </row>
    <row r="555" ht="15.75" customHeight="1">
      <c r="B555" s="164"/>
      <c r="C555" s="164"/>
      <c r="D555" s="164"/>
      <c r="E555" s="164"/>
      <c r="F555" s="164"/>
      <c r="G555" s="158"/>
      <c r="H555" s="158"/>
    </row>
    <row r="556" ht="15.75" customHeight="1">
      <c r="B556" s="164"/>
      <c r="C556" s="164"/>
      <c r="D556" s="164"/>
      <c r="E556" s="164"/>
      <c r="F556" s="164"/>
      <c r="G556" s="158"/>
      <c r="H556" s="158"/>
    </row>
    <row r="557" ht="15.75" customHeight="1">
      <c r="B557" s="164"/>
      <c r="C557" s="164"/>
      <c r="D557" s="164"/>
      <c r="E557" s="164"/>
      <c r="F557" s="164"/>
      <c r="G557" s="158"/>
      <c r="H557" s="158"/>
    </row>
    <row r="558" ht="15.75" customHeight="1">
      <c r="B558" s="164"/>
      <c r="C558" s="164"/>
      <c r="D558" s="164"/>
      <c r="E558" s="164"/>
      <c r="F558" s="164"/>
      <c r="G558" s="158"/>
      <c r="H558" s="158"/>
    </row>
    <row r="559" ht="15.75" customHeight="1">
      <c r="B559" s="164"/>
      <c r="C559" s="164"/>
      <c r="D559" s="164"/>
      <c r="E559" s="164"/>
      <c r="F559" s="164"/>
      <c r="G559" s="158"/>
      <c r="H559" s="158"/>
    </row>
    <row r="560" ht="15.75" customHeight="1">
      <c r="B560" s="164"/>
      <c r="C560" s="164"/>
      <c r="D560" s="164"/>
      <c r="E560" s="164"/>
      <c r="F560" s="164"/>
      <c r="G560" s="158"/>
      <c r="H560" s="158"/>
    </row>
    <row r="561" ht="15.75" customHeight="1">
      <c r="B561" s="164"/>
      <c r="C561" s="164"/>
      <c r="D561" s="164"/>
      <c r="E561" s="164"/>
      <c r="F561" s="164"/>
      <c r="G561" s="158"/>
      <c r="H561" s="158"/>
    </row>
    <row r="562" ht="15.75" customHeight="1">
      <c r="B562" s="164"/>
      <c r="C562" s="164"/>
      <c r="D562" s="164"/>
      <c r="E562" s="164"/>
      <c r="F562" s="164"/>
      <c r="G562" s="158"/>
      <c r="H562" s="158"/>
    </row>
    <row r="563" ht="15.75" customHeight="1">
      <c r="B563" s="164"/>
      <c r="C563" s="164"/>
      <c r="D563" s="164"/>
      <c r="E563" s="164"/>
      <c r="F563" s="164"/>
      <c r="G563" s="158"/>
      <c r="H563" s="158"/>
    </row>
    <row r="564" ht="15.75" customHeight="1">
      <c r="B564" s="164"/>
      <c r="C564" s="164"/>
      <c r="D564" s="164"/>
      <c r="E564" s="164"/>
      <c r="F564" s="164"/>
      <c r="G564" s="158"/>
      <c r="H564" s="158"/>
    </row>
    <row r="565" ht="15.75" customHeight="1">
      <c r="B565" s="164"/>
      <c r="C565" s="164"/>
      <c r="D565" s="164"/>
      <c r="E565" s="164"/>
      <c r="F565" s="164"/>
      <c r="G565" s="158"/>
      <c r="H565" s="158"/>
    </row>
    <row r="566" ht="15.75" customHeight="1">
      <c r="B566" s="164"/>
      <c r="C566" s="164"/>
      <c r="D566" s="164"/>
      <c r="E566" s="164"/>
      <c r="F566" s="164"/>
      <c r="G566" s="158"/>
      <c r="H566" s="158"/>
    </row>
    <row r="567" ht="15.75" customHeight="1">
      <c r="B567" s="164"/>
      <c r="C567" s="164"/>
      <c r="D567" s="164"/>
      <c r="E567" s="164"/>
      <c r="F567" s="164"/>
      <c r="G567" s="158"/>
      <c r="H567" s="158"/>
    </row>
    <row r="568" ht="15.75" customHeight="1">
      <c r="B568" s="164"/>
      <c r="C568" s="164"/>
      <c r="D568" s="164"/>
      <c r="E568" s="164"/>
      <c r="F568" s="164"/>
      <c r="G568" s="158"/>
      <c r="H568" s="158"/>
    </row>
    <row r="569" ht="15.75" customHeight="1">
      <c r="B569" s="164"/>
      <c r="C569" s="164"/>
      <c r="D569" s="164"/>
      <c r="E569" s="164"/>
      <c r="F569" s="164"/>
      <c r="G569" s="158"/>
      <c r="H569" s="158"/>
    </row>
    <row r="570" ht="15.75" customHeight="1">
      <c r="B570" s="164"/>
      <c r="C570" s="164"/>
      <c r="D570" s="164"/>
      <c r="E570" s="164"/>
      <c r="F570" s="164"/>
      <c r="G570" s="158"/>
      <c r="H570" s="158"/>
    </row>
    <row r="571" ht="15.75" customHeight="1">
      <c r="B571" s="164"/>
      <c r="C571" s="164"/>
      <c r="D571" s="164"/>
      <c r="E571" s="164"/>
      <c r="F571" s="164"/>
      <c r="G571" s="158"/>
      <c r="H571" s="158"/>
    </row>
    <row r="572" ht="15.75" customHeight="1">
      <c r="B572" s="164"/>
      <c r="C572" s="164"/>
      <c r="D572" s="164"/>
      <c r="E572" s="164"/>
      <c r="F572" s="164"/>
      <c r="G572" s="158"/>
      <c r="H572" s="158"/>
    </row>
    <row r="573" ht="15.75" customHeight="1">
      <c r="B573" s="164"/>
      <c r="C573" s="164"/>
      <c r="D573" s="164"/>
      <c r="E573" s="164"/>
      <c r="F573" s="164"/>
      <c r="G573" s="158"/>
      <c r="H573" s="158"/>
    </row>
    <row r="574" ht="15.75" customHeight="1">
      <c r="B574" s="164"/>
      <c r="C574" s="164"/>
      <c r="D574" s="164"/>
      <c r="E574" s="164"/>
      <c r="F574" s="164"/>
      <c r="G574" s="158"/>
      <c r="H574" s="158"/>
    </row>
    <row r="575" ht="15.75" customHeight="1">
      <c r="B575" s="164"/>
      <c r="C575" s="164"/>
      <c r="D575" s="164"/>
      <c r="E575" s="164"/>
      <c r="F575" s="164"/>
      <c r="G575" s="158"/>
      <c r="H575" s="158"/>
    </row>
    <row r="576" ht="15.75" customHeight="1">
      <c r="B576" s="164"/>
      <c r="C576" s="164"/>
      <c r="D576" s="164"/>
      <c r="E576" s="164"/>
      <c r="F576" s="164"/>
      <c r="G576" s="158"/>
      <c r="H576" s="158"/>
    </row>
    <row r="577" ht="15.75" customHeight="1">
      <c r="B577" s="164"/>
      <c r="C577" s="164"/>
      <c r="D577" s="164"/>
      <c r="E577" s="164"/>
      <c r="F577" s="164"/>
      <c r="G577" s="158"/>
      <c r="H577" s="158"/>
    </row>
    <row r="578" ht="15.75" customHeight="1">
      <c r="B578" s="164"/>
      <c r="C578" s="164"/>
      <c r="D578" s="164"/>
      <c r="E578" s="164"/>
      <c r="F578" s="164"/>
      <c r="G578" s="158"/>
      <c r="H578" s="158"/>
    </row>
    <row r="579" ht="15.75" customHeight="1">
      <c r="B579" s="164"/>
      <c r="C579" s="164"/>
      <c r="D579" s="164"/>
      <c r="E579" s="164"/>
      <c r="F579" s="164"/>
      <c r="G579" s="158"/>
      <c r="H579" s="158"/>
    </row>
    <row r="580" ht="15.75" customHeight="1">
      <c r="B580" s="164"/>
      <c r="C580" s="164"/>
      <c r="D580" s="164"/>
      <c r="E580" s="164"/>
      <c r="F580" s="164"/>
      <c r="G580" s="158"/>
      <c r="H580" s="158"/>
    </row>
    <row r="581" ht="15.75" customHeight="1">
      <c r="B581" s="164"/>
      <c r="C581" s="164"/>
      <c r="D581" s="164"/>
      <c r="E581" s="164"/>
      <c r="F581" s="164"/>
      <c r="G581" s="158"/>
      <c r="H581" s="158"/>
    </row>
    <row r="582" ht="15.75" customHeight="1">
      <c r="B582" s="164"/>
      <c r="C582" s="164"/>
      <c r="D582" s="164"/>
      <c r="E582" s="164"/>
      <c r="F582" s="164"/>
      <c r="G582" s="158"/>
      <c r="H582" s="158"/>
    </row>
    <row r="583" ht="15.75" customHeight="1">
      <c r="B583" s="164"/>
      <c r="C583" s="164"/>
      <c r="D583" s="164"/>
      <c r="E583" s="164"/>
      <c r="F583" s="164"/>
      <c r="G583" s="158"/>
      <c r="H583" s="158"/>
    </row>
    <row r="584" ht="15.75" customHeight="1">
      <c r="B584" s="164"/>
      <c r="C584" s="164"/>
      <c r="D584" s="164"/>
      <c r="E584" s="164"/>
      <c r="F584" s="164"/>
      <c r="G584" s="158"/>
      <c r="H584" s="158"/>
    </row>
    <row r="585" ht="15.75" customHeight="1">
      <c r="B585" s="164"/>
      <c r="C585" s="164"/>
      <c r="D585" s="164"/>
      <c r="E585" s="164"/>
      <c r="F585" s="164"/>
      <c r="G585" s="158"/>
      <c r="H585" s="158"/>
    </row>
    <row r="586" ht="15.75" customHeight="1">
      <c r="B586" s="164"/>
      <c r="C586" s="164"/>
      <c r="D586" s="164"/>
      <c r="E586" s="164"/>
      <c r="F586" s="164"/>
      <c r="G586" s="158"/>
      <c r="H586" s="158"/>
    </row>
    <row r="587" ht="15.75" customHeight="1">
      <c r="B587" s="164"/>
      <c r="C587" s="164"/>
      <c r="D587" s="164"/>
      <c r="E587" s="164"/>
      <c r="F587" s="164"/>
      <c r="G587" s="158"/>
      <c r="H587" s="158"/>
    </row>
    <row r="588" ht="15.75" customHeight="1">
      <c r="B588" s="164"/>
      <c r="C588" s="164"/>
      <c r="D588" s="164"/>
      <c r="E588" s="164"/>
      <c r="F588" s="164"/>
      <c r="G588" s="158"/>
      <c r="H588" s="158"/>
    </row>
    <row r="589" ht="15.75" customHeight="1">
      <c r="B589" s="164"/>
      <c r="C589" s="164"/>
      <c r="D589" s="164"/>
      <c r="E589" s="164"/>
      <c r="F589" s="164"/>
      <c r="G589" s="158"/>
      <c r="H589" s="158"/>
    </row>
    <row r="590" ht="15.75" customHeight="1">
      <c r="B590" s="164"/>
      <c r="C590" s="164"/>
      <c r="D590" s="164"/>
      <c r="E590" s="164"/>
      <c r="F590" s="164"/>
      <c r="G590" s="158"/>
      <c r="H590" s="158"/>
    </row>
    <row r="591" ht="15.75" customHeight="1">
      <c r="B591" s="164"/>
      <c r="C591" s="164"/>
      <c r="D591" s="164"/>
      <c r="E591" s="164"/>
      <c r="F591" s="164"/>
      <c r="G591" s="158"/>
      <c r="H591" s="158"/>
    </row>
    <row r="592" ht="15.75" customHeight="1">
      <c r="B592" s="164"/>
      <c r="C592" s="164"/>
      <c r="D592" s="164"/>
      <c r="E592" s="164"/>
      <c r="F592" s="164"/>
      <c r="G592" s="158"/>
      <c r="H592" s="158"/>
    </row>
    <row r="593" ht="15.75" customHeight="1">
      <c r="B593" s="164"/>
      <c r="C593" s="164"/>
      <c r="D593" s="164"/>
      <c r="E593" s="164"/>
      <c r="F593" s="164"/>
      <c r="G593" s="158"/>
      <c r="H593" s="158"/>
    </row>
    <row r="594" ht="15.75" customHeight="1">
      <c r="B594" s="164"/>
      <c r="C594" s="164"/>
      <c r="D594" s="164"/>
      <c r="E594" s="164"/>
      <c r="F594" s="164"/>
      <c r="G594" s="158"/>
      <c r="H594" s="158"/>
    </row>
    <row r="595" ht="15.75" customHeight="1">
      <c r="B595" s="164"/>
      <c r="C595" s="164"/>
      <c r="D595" s="164"/>
      <c r="E595" s="164"/>
      <c r="F595" s="164"/>
      <c r="G595" s="158"/>
      <c r="H595" s="158"/>
    </row>
    <row r="596" ht="15.75" customHeight="1">
      <c r="B596" s="164"/>
      <c r="C596" s="164"/>
      <c r="D596" s="164"/>
      <c r="E596" s="164"/>
      <c r="F596" s="164"/>
      <c r="G596" s="158"/>
      <c r="H596" s="158"/>
    </row>
    <row r="597" ht="15.75" customHeight="1">
      <c r="B597" s="164"/>
      <c r="C597" s="164"/>
      <c r="D597" s="164"/>
      <c r="E597" s="164"/>
      <c r="F597" s="164"/>
      <c r="G597" s="158"/>
      <c r="H597" s="158"/>
    </row>
    <row r="598" ht="15.75" customHeight="1">
      <c r="B598" s="164"/>
      <c r="C598" s="164"/>
      <c r="D598" s="164"/>
      <c r="E598" s="164"/>
      <c r="F598" s="164"/>
      <c r="G598" s="158"/>
      <c r="H598" s="158"/>
    </row>
    <row r="599" ht="15.75" customHeight="1">
      <c r="B599" s="164"/>
      <c r="C599" s="164"/>
      <c r="D599" s="164"/>
      <c r="E599" s="164"/>
      <c r="F599" s="164"/>
      <c r="G599" s="158"/>
      <c r="H599" s="158"/>
    </row>
    <row r="600" ht="15.75" customHeight="1">
      <c r="B600" s="164"/>
      <c r="C600" s="164"/>
      <c r="D600" s="164"/>
      <c r="E600" s="164"/>
      <c r="F600" s="164"/>
      <c r="G600" s="158"/>
      <c r="H600" s="158"/>
    </row>
    <row r="601" ht="15.75" customHeight="1">
      <c r="B601" s="164"/>
      <c r="C601" s="164"/>
      <c r="D601" s="164"/>
      <c r="E601" s="164"/>
      <c r="F601" s="164"/>
      <c r="G601" s="158"/>
      <c r="H601" s="158"/>
    </row>
    <row r="602" ht="15.75" customHeight="1">
      <c r="B602" s="164"/>
      <c r="C602" s="164"/>
      <c r="D602" s="164"/>
      <c r="E602" s="164"/>
      <c r="F602" s="164"/>
      <c r="G602" s="158"/>
      <c r="H602" s="158"/>
    </row>
    <row r="603" ht="15.75" customHeight="1">
      <c r="B603" s="164"/>
      <c r="C603" s="164"/>
      <c r="D603" s="164"/>
      <c r="E603" s="164"/>
      <c r="F603" s="164"/>
      <c r="G603" s="158"/>
      <c r="H603" s="158"/>
    </row>
    <row r="604" ht="15.75" customHeight="1">
      <c r="B604" s="164"/>
      <c r="C604" s="164"/>
      <c r="D604" s="164"/>
      <c r="E604" s="164"/>
      <c r="F604" s="164"/>
      <c r="G604" s="158"/>
      <c r="H604" s="158"/>
    </row>
    <row r="605" ht="15.75" customHeight="1">
      <c r="B605" s="164"/>
      <c r="C605" s="164"/>
      <c r="D605" s="164"/>
      <c r="E605" s="164"/>
      <c r="F605" s="164"/>
      <c r="G605" s="158"/>
      <c r="H605" s="158"/>
    </row>
    <row r="606" ht="15.75" customHeight="1">
      <c r="B606" s="164"/>
      <c r="C606" s="164"/>
      <c r="D606" s="164"/>
      <c r="E606" s="164"/>
      <c r="F606" s="164"/>
      <c r="G606" s="158"/>
      <c r="H606" s="158"/>
    </row>
    <row r="607" ht="15.75" customHeight="1">
      <c r="B607" s="164"/>
      <c r="C607" s="164"/>
      <c r="D607" s="164"/>
      <c r="E607" s="164"/>
      <c r="F607" s="164"/>
      <c r="G607" s="158"/>
      <c r="H607" s="158"/>
    </row>
    <row r="608" ht="15.75" customHeight="1">
      <c r="B608" s="164"/>
      <c r="C608" s="164"/>
      <c r="D608" s="164"/>
      <c r="E608" s="164"/>
      <c r="F608" s="164"/>
      <c r="G608" s="158"/>
      <c r="H608" s="158"/>
    </row>
    <row r="609" ht="15.75" customHeight="1">
      <c r="B609" s="164"/>
      <c r="C609" s="164"/>
      <c r="D609" s="164"/>
      <c r="E609" s="164"/>
      <c r="F609" s="164"/>
      <c r="G609" s="158"/>
      <c r="H609" s="158"/>
    </row>
    <row r="610" ht="15.75" customHeight="1">
      <c r="B610" s="164"/>
      <c r="C610" s="164"/>
      <c r="D610" s="164"/>
      <c r="E610" s="164"/>
      <c r="F610" s="164"/>
      <c r="G610" s="158"/>
      <c r="H610" s="158"/>
    </row>
    <row r="611" ht="15.75" customHeight="1">
      <c r="B611" s="164"/>
      <c r="C611" s="164"/>
      <c r="D611" s="164"/>
      <c r="E611" s="164"/>
      <c r="F611" s="164"/>
      <c r="G611" s="158"/>
      <c r="H611" s="158"/>
    </row>
    <row r="612" ht="15.75" customHeight="1">
      <c r="B612" s="164"/>
      <c r="C612" s="164"/>
      <c r="D612" s="164"/>
      <c r="E612" s="164"/>
      <c r="F612" s="164"/>
      <c r="G612" s="158"/>
      <c r="H612" s="158"/>
    </row>
    <row r="613" ht="15.75" customHeight="1">
      <c r="B613" s="164"/>
      <c r="C613" s="164"/>
      <c r="D613" s="164"/>
      <c r="E613" s="164"/>
      <c r="F613" s="164"/>
      <c r="G613" s="158"/>
      <c r="H613" s="158"/>
    </row>
    <row r="614" ht="15.75" customHeight="1">
      <c r="B614" s="164"/>
      <c r="C614" s="164"/>
      <c r="D614" s="164"/>
      <c r="E614" s="164"/>
      <c r="F614" s="164"/>
      <c r="G614" s="158"/>
      <c r="H614" s="158"/>
    </row>
    <row r="615" ht="15.75" customHeight="1">
      <c r="B615" s="164"/>
      <c r="C615" s="164"/>
      <c r="D615" s="164"/>
      <c r="E615" s="164"/>
      <c r="F615" s="164"/>
      <c r="G615" s="158"/>
      <c r="H615" s="158"/>
    </row>
    <row r="616" ht="15.75" customHeight="1">
      <c r="B616" s="164"/>
      <c r="C616" s="164"/>
      <c r="D616" s="164"/>
      <c r="E616" s="164"/>
      <c r="F616" s="164"/>
      <c r="G616" s="158"/>
      <c r="H616" s="158"/>
    </row>
    <row r="617" ht="15.75" customHeight="1">
      <c r="B617" s="164"/>
      <c r="C617" s="164"/>
      <c r="D617" s="164"/>
      <c r="E617" s="164"/>
      <c r="F617" s="164"/>
      <c r="G617" s="158"/>
      <c r="H617" s="158"/>
    </row>
    <row r="618" ht="15.75" customHeight="1">
      <c r="B618" s="164"/>
      <c r="C618" s="164"/>
      <c r="D618" s="164"/>
      <c r="E618" s="164"/>
      <c r="F618" s="164"/>
      <c r="G618" s="158"/>
      <c r="H618" s="158"/>
    </row>
    <row r="619" ht="15.75" customHeight="1">
      <c r="B619" s="164"/>
      <c r="C619" s="164"/>
      <c r="D619" s="164"/>
      <c r="E619" s="164"/>
      <c r="F619" s="164"/>
      <c r="G619" s="158"/>
      <c r="H619" s="158"/>
    </row>
    <row r="620" ht="15.75" customHeight="1">
      <c r="B620" s="164"/>
      <c r="C620" s="164"/>
      <c r="D620" s="164"/>
      <c r="E620" s="164"/>
      <c r="F620" s="164"/>
      <c r="G620" s="158"/>
      <c r="H620" s="158"/>
    </row>
    <row r="621" ht="15.75" customHeight="1">
      <c r="B621" s="164"/>
      <c r="C621" s="164"/>
      <c r="D621" s="164"/>
      <c r="E621" s="164"/>
      <c r="F621" s="164"/>
      <c r="G621" s="158"/>
      <c r="H621" s="158"/>
    </row>
    <row r="622" ht="15.75" customHeight="1">
      <c r="B622" s="164"/>
      <c r="C622" s="164"/>
      <c r="D622" s="164"/>
      <c r="E622" s="164"/>
      <c r="F622" s="164"/>
      <c r="G622" s="158"/>
      <c r="H622" s="158"/>
    </row>
    <row r="623" ht="15.75" customHeight="1">
      <c r="B623" s="164"/>
      <c r="C623" s="164"/>
      <c r="D623" s="164"/>
      <c r="E623" s="164"/>
      <c r="F623" s="164"/>
      <c r="G623" s="158"/>
      <c r="H623" s="158"/>
    </row>
    <row r="624" ht="15.75" customHeight="1">
      <c r="B624" s="164"/>
      <c r="C624" s="164"/>
      <c r="D624" s="164"/>
      <c r="E624" s="164"/>
      <c r="F624" s="164"/>
      <c r="G624" s="158"/>
      <c r="H624" s="158"/>
    </row>
    <row r="625" ht="15.75" customHeight="1">
      <c r="B625" s="164"/>
      <c r="C625" s="164"/>
      <c r="D625" s="164"/>
      <c r="E625" s="164"/>
      <c r="F625" s="164"/>
      <c r="G625" s="158"/>
      <c r="H625" s="158"/>
    </row>
    <row r="626" ht="15.75" customHeight="1">
      <c r="B626" s="164"/>
      <c r="C626" s="164"/>
      <c r="D626" s="164"/>
      <c r="E626" s="164"/>
      <c r="F626" s="164"/>
      <c r="G626" s="158"/>
      <c r="H626" s="158"/>
    </row>
    <row r="627" ht="15.75" customHeight="1">
      <c r="B627" s="164"/>
      <c r="C627" s="164"/>
      <c r="D627" s="164"/>
      <c r="E627" s="164"/>
      <c r="F627" s="164"/>
      <c r="G627" s="158"/>
      <c r="H627" s="158"/>
    </row>
    <row r="628" ht="15.75" customHeight="1">
      <c r="B628" s="164"/>
      <c r="C628" s="164"/>
      <c r="D628" s="164"/>
      <c r="E628" s="164"/>
      <c r="F628" s="164"/>
      <c r="G628" s="158"/>
      <c r="H628" s="158"/>
    </row>
    <row r="629" ht="15.75" customHeight="1">
      <c r="B629" s="164"/>
      <c r="C629" s="164"/>
      <c r="D629" s="164"/>
      <c r="E629" s="164"/>
      <c r="F629" s="164"/>
      <c r="G629" s="158"/>
      <c r="H629" s="158"/>
    </row>
    <row r="630" ht="15.75" customHeight="1">
      <c r="B630" s="164"/>
      <c r="C630" s="164"/>
      <c r="D630" s="164"/>
      <c r="E630" s="164"/>
      <c r="F630" s="164"/>
      <c r="G630" s="158"/>
      <c r="H630" s="158"/>
    </row>
    <row r="631" ht="15.75" customHeight="1">
      <c r="B631" s="164"/>
      <c r="C631" s="164"/>
      <c r="D631" s="164"/>
      <c r="E631" s="164"/>
      <c r="F631" s="164"/>
      <c r="G631" s="158"/>
      <c r="H631" s="158"/>
    </row>
    <row r="632" ht="15.75" customHeight="1">
      <c r="B632" s="164"/>
      <c r="C632" s="164"/>
      <c r="D632" s="164"/>
      <c r="E632" s="164"/>
      <c r="F632" s="164"/>
      <c r="G632" s="158"/>
      <c r="H632" s="158"/>
    </row>
    <row r="633" ht="15.75" customHeight="1">
      <c r="B633" s="164"/>
      <c r="C633" s="164"/>
      <c r="D633" s="164"/>
      <c r="E633" s="164"/>
      <c r="F633" s="164"/>
      <c r="G633" s="158"/>
      <c r="H633" s="158"/>
    </row>
    <row r="634" ht="15.75" customHeight="1">
      <c r="B634" s="164"/>
      <c r="C634" s="164"/>
      <c r="D634" s="164"/>
      <c r="E634" s="164"/>
      <c r="F634" s="164"/>
      <c r="G634" s="158"/>
      <c r="H634" s="158"/>
    </row>
    <row r="635" ht="15.75" customHeight="1">
      <c r="B635" s="164"/>
      <c r="C635" s="164"/>
      <c r="D635" s="164"/>
      <c r="E635" s="164"/>
      <c r="F635" s="164"/>
      <c r="G635" s="158"/>
      <c r="H635" s="158"/>
    </row>
    <row r="636" ht="15.75" customHeight="1">
      <c r="B636" s="164"/>
      <c r="C636" s="164"/>
      <c r="D636" s="164"/>
      <c r="E636" s="164"/>
      <c r="F636" s="164"/>
      <c r="G636" s="158"/>
      <c r="H636" s="158"/>
    </row>
    <row r="637" ht="15.75" customHeight="1">
      <c r="B637" s="164"/>
      <c r="C637" s="164"/>
      <c r="D637" s="164"/>
      <c r="E637" s="164"/>
      <c r="F637" s="164"/>
      <c r="G637" s="158"/>
      <c r="H637" s="158"/>
    </row>
    <row r="638" ht="15.75" customHeight="1">
      <c r="B638" s="164"/>
      <c r="C638" s="164"/>
      <c r="D638" s="164"/>
      <c r="E638" s="164"/>
      <c r="F638" s="164"/>
      <c r="G638" s="158"/>
      <c r="H638" s="158"/>
    </row>
    <row r="639" ht="15.75" customHeight="1">
      <c r="B639" s="164"/>
      <c r="C639" s="164"/>
      <c r="D639" s="164"/>
      <c r="E639" s="164"/>
      <c r="F639" s="164"/>
      <c r="G639" s="158"/>
      <c r="H639" s="158"/>
    </row>
    <row r="640" ht="15.75" customHeight="1">
      <c r="B640" s="164"/>
      <c r="C640" s="164"/>
      <c r="D640" s="164"/>
      <c r="E640" s="164"/>
      <c r="F640" s="164"/>
      <c r="G640" s="158"/>
      <c r="H640" s="158"/>
    </row>
    <row r="641" ht="15.75" customHeight="1">
      <c r="B641" s="164"/>
      <c r="C641" s="164"/>
      <c r="D641" s="164"/>
      <c r="E641" s="164"/>
      <c r="F641" s="164"/>
      <c r="G641" s="158"/>
      <c r="H641" s="158"/>
    </row>
    <row r="642" ht="15.75" customHeight="1">
      <c r="B642" s="164"/>
      <c r="C642" s="164"/>
      <c r="D642" s="164"/>
      <c r="E642" s="164"/>
      <c r="F642" s="164"/>
      <c r="G642" s="158"/>
      <c r="H642" s="158"/>
    </row>
    <row r="643" ht="15.75" customHeight="1">
      <c r="B643" s="164"/>
      <c r="C643" s="164"/>
      <c r="D643" s="164"/>
      <c r="E643" s="164"/>
      <c r="F643" s="164"/>
      <c r="G643" s="158"/>
      <c r="H643" s="158"/>
    </row>
    <row r="644" ht="15.75" customHeight="1">
      <c r="B644" s="164"/>
      <c r="C644" s="164"/>
      <c r="D644" s="164"/>
      <c r="E644" s="164"/>
      <c r="F644" s="164"/>
      <c r="G644" s="158"/>
      <c r="H644" s="158"/>
    </row>
    <row r="645" ht="15.75" customHeight="1">
      <c r="B645" s="164"/>
      <c r="C645" s="164"/>
      <c r="D645" s="164"/>
      <c r="E645" s="164"/>
      <c r="F645" s="164"/>
      <c r="G645" s="158"/>
      <c r="H645" s="158"/>
    </row>
    <row r="646" ht="15.75" customHeight="1">
      <c r="B646" s="164"/>
      <c r="C646" s="164"/>
      <c r="D646" s="164"/>
      <c r="E646" s="164"/>
      <c r="F646" s="164"/>
      <c r="G646" s="158"/>
      <c r="H646" s="158"/>
    </row>
    <row r="647" ht="15.75" customHeight="1">
      <c r="B647" s="164"/>
      <c r="C647" s="164"/>
      <c r="D647" s="164"/>
      <c r="E647" s="164"/>
      <c r="F647" s="164"/>
      <c r="G647" s="158"/>
      <c r="H647" s="158"/>
    </row>
    <row r="648" ht="15.75" customHeight="1">
      <c r="B648" s="164"/>
      <c r="C648" s="164"/>
      <c r="D648" s="164"/>
      <c r="E648" s="164"/>
      <c r="F648" s="164"/>
      <c r="G648" s="158"/>
      <c r="H648" s="158"/>
    </row>
    <row r="649" ht="15.75" customHeight="1">
      <c r="B649" s="164"/>
      <c r="C649" s="164"/>
      <c r="D649" s="164"/>
      <c r="E649" s="164"/>
      <c r="F649" s="164"/>
      <c r="G649" s="158"/>
      <c r="H649" s="158"/>
    </row>
    <row r="650" ht="15.75" customHeight="1">
      <c r="B650" s="164"/>
      <c r="C650" s="164"/>
      <c r="D650" s="164"/>
      <c r="E650" s="164"/>
      <c r="F650" s="164"/>
      <c r="G650" s="158"/>
      <c r="H650" s="158"/>
    </row>
    <row r="651" ht="15.75" customHeight="1">
      <c r="B651" s="164"/>
      <c r="C651" s="164"/>
      <c r="D651" s="164"/>
      <c r="E651" s="164"/>
      <c r="F651" s="164"/>
      <c r="G651" s="158"/>
      <c r="H651" s="158"/>
    </row>
    <row r="652" ht="15.75" customHeight="1">
      <c r="B652" s="164"/>
      <c r="C652" s="164"/>
      <c r="D652" s="164"/>
      <c r="E652" s="164"/>
      <c r="F652" s="164"/>
      <c r="G652" s="158"/>
      <c r="H652" s="158"/>
    </row>
    <row r="653" ht="15.75" customHeight="1">
      <c r="B653" s="164"/>
      <c r="C653" s="164"/>
      <c r="D653" s="164"/>
      <c r="E653" s="164"/>
      <c r="F653" s="164"/>
      <c r="G653" s="158"/>
      <c r="H653" s="158"/>
    </row>
    <row r="654" ht="15.75" customHeight="1">
      <c r="B654" s="164"/>
      <c r="C654" s="164"/>
      <c r="D654" s="164"/>
      <c r="E654" s="164"/>
      <c r="F654" s="164"/>
      <c r="G654" s="158"/>
      <c r="H654" s="158"/>
    </row>
    <row r="655" ht="15.75" customHeight="1">
      <c r="B655" s="164"/>
      <c r="C655" s="164"/>
      <c r="D655" s="164"/>
      <c r="E655" s="164"/>
      <c r="F655" s="164"/>
      <c r="G655" s="158"/>
      <c r="H655" s="158"/>
    </row>
    <row r="656" ht="15.75" customHeight="1">
      <c r="B656" s="164"/>
      <c r="C656" s="164"/>
      <c r="D656" s="164"/>
      <c r="E656" s="164"/>
      <c r="F656" s="164"/>
      <c r="G656" s="158"/>
      <c r="H656" s="158"/>
    </row>
    <row r="657" ht="15.75" customHeight="1">
      <c r="B657" s="164"/>
      <c r="C657" s="164"/>
      <c r="D657" s="164"/>
      <c r="E657" s="164"/>
      <c r="F657" s="164"/>
      <c r="G657" s="158"/>
      <c r="H657" s="158"/>
    </row>
    <row r="658" ht="15.75" customHeight="1">
      <c r="B658" s="164"/>
      <c r="C658" s="164"/>
      <c r="D658" s="164"/>
      <c r="E658" s="164"/>
      <c r="F658" s="164"/>
      <c r="G658" s="158"/>
      <c r="H658" s="158"/>
    </row>
    <row r="659" ht="15.75" customHeight="1">
      <c r="B659" s="164"/>
      <c r="C659" s="164"/>
      <c r="D659" s="164"/>
      <c r="E659" s="164"/>
      <c r="F659" s="164"/>
      <c r="G659" s="158"/>
      <c r="H659" s="158"/>
    </row>
    <row r="660" ht="15.75" customHeight="1">
      <c r="B660" s="164"/>
      <c r="C660" s="164"/>
      <c r="D660" s="164"/>
      <c r="E660" s="164"/>
      <c r="F660" s="164"/>
      <c r="G660" s="158"/>
      <c r="H660" s="158"/>
    </row>
    <row r="661" ht="15.75" customHeight="1">
      <c r="B661" s="164"/>
      <c r="C661" s="164"/>
      <c r="D661" s="164"/>
      <c r="E661" s="164"/>
      <c r="F661" s="164"/>
      <c r="G661" s="158"/>
      <c r="H661" s="158"/>
    </row>
    <row r="662" ht="15.75" customHeight="1">
      <c r="B662" s="164"/>
      <c r="C662" s="164"/>
      <c r="D662" s="164"/>
      <c r="E662" s="164"/>
      <c r="F662" s="164"/>
      <c r="G662" s="158"/>
      <c r="H662" s="158"/>
    </row>
    <row r="663" ht="15.75" customHeight="1">
      <c r="B663" s="164"/>
      <c r="C663" s="164"/>
      <c r="D663" s="164"/>
      <c r="E663" s="164"/>
      <c r="F663" s="164"/>
      <c r="G663" s="158"/>
      <c r="H663" s="158"/>
    </row>
    <row r="664" ht="15.75" customHeight="1">
      <c r="B664" s="164"/>
      <c r="C664" s="164"/>
      <c r="D664" s="164"/>
      <c r="E664" s="164"/>
      <c r="F664" s="164"/>
      <c r="G664" s="158"/>
      <c r="H664" s="158"/>
    </row>
    <row r="665" ht="15.75" customHeight="1">
      <c r="B665" s="164"/>
      <c r="C665" s="164"/>
      <c r="D665" s="164"/>
      <c r="E665" s="164"/>
      <c r="F665" s="164"/>
      <c r="G665" s="158"/>
      <c r="H665" s="158"/>
    </row>
    <row r="666" ht="15.75" customHeight="1">
      <c r="B666" s="164"/>
      <c r="C666" s="164"/>
      <c r="D666" s="164"/>
      <c r="E666" s="164"/>
      <c r="F666" s="164"/>
      <c r="G666" s="158"/>
      <c r="H666" s="158"/>
    </row>
    <row r="667" ht="15.75" customHeight="1">
      <c r="B667" s="164"/>
      <c r="C667" s="164"/>
      <c r="D667" s="164"/>
      <c r="E667" s="164"/>
      <c r="F667" s="164"/>
      <c r="G667" s="158"/>
      <c r="H667" s="158"/>
    </row>
    <row r="668" ht="15.75" customHeight="1">
      <c r="B668" s="164"/>
      <c r="C668" s="164"/>
      <c r="D668" s="164"/>
      <c r="E668" s="164"/>
      <c r="F668" s="164"/>
      <c r="G668" s="158"/>
      <c r="H668" s="158"/>
    </row>
    <row r="669" ht="15.75" customHeight="1">
      <c r="B669" s="164"/>
      <c r="C669" s="164"/>
      <c r="D669" s="164"/>
      <c r="E669" s="164"/>
      <c r="F669" s="164"/>
      <c r="G669" s="158"/>
      <c r="H669" s="158"/>
    </row>
    <row r="670" ht="15.75" customHeight="1">
      <c r="B670" s="164"/>
      <c r="C670" s="164"/>
      <c r="D670" s="164"/>
      <c r="E670" s="164"/>
      <c r="F670" s="164"/>
      <c r="G670" s="158"/>
      <c r="H670" s="158"/>
    </row>
    <row r="671" ht="15.75" customHeight="1">
      <c r="B671" s="164"/>
      <c r="C671" s="164"/>
      <c r="D671" s="164"/>
      <c r="E671" s="164"/>
      <c r="F671" s="164"/>
      <c r="G671" s="158"/>
      <c r="H671" s="158"/>
    </row>
    <row r="672" ht="15.75" customHeight="1">
      <c r="B672" s="164"/>
      <c r="C672" s="164"/>
      <c r="D672" s="164"/>
      <c r="E672" s="164"/>
      <c r="F672" s="164"/>
      <c r="G672" s="158"/>
      <c r="H672" s="158"/>
    </row>
    <row r="673" ht="15.75" customHeight="1">
      <c r="B673" s="164"/>
      <c r="C673" s="164"/>
      <c r="D673" s="164"/>
      <c r="E673" s="164"/>
      <c r="F673" s="164"/>
      <c r="G673" s="158"/>
      <c r="H673" s="158"/>
    </row>
    <row r="674" ht="15.75" customHeight="1">
      <c r="B674" s="164"/>
      <c r="C674" s="164"/>
      <c r="D674" s="164"/>
      <c r="E674" s="164"/>
      <c r="F674" s="164"/>
      <c r="G674" s="158"/>
      <c r="H674" s="158"/>
    </row>
    <row r="675" ht="15.75" customHeight="1">
      <c r="B675" s="164"/>
      <c r="C675" s="164"/>
      <c r="D675" s="164"/>
      <c r="E675" s="164"/>
      <c r="F675" s="164"/>
      <c r="G675" s="158"/>
      <c r="H675" s="158"/>
    </row>
    <row r="676" ht="15.75" customHeight="1">
      <c r="B676" s="164"/>
      <c r="C676" s="164"/>
      <c r="D676" s="164"/>
      <c r="E676" s="164"/>
      <c r="F676" s="164"/>
      <c r="G676" s="158"/>
      <c r="H676" s="158"/>
    </row>
    <row r="677" ht="15.75" customHeight="1">
      <c r="B677" s="164"/>
      <c r="C677" s="164"/>
      <c r="D677" s="164"/>
      <c r="E677" s="164"/>
      <c r="F677" s="164"/>
      <c r="G677" s="158"/>
      <c r="H677" s="158"/>
    </row>
    <row r="678" ht="15.75" customHeight="1">
      <c r="B678" s="164"/>
      <c r="C678" s="164"/>
      <c r="D678" s="164"/>
      <c r="E678" s="164"/>
      <c r="F678" s="164"/>
      <c r="G678" s="158"/>
      <c r="H678" s="158"/>
    </row>
    <row r="679" ht="15.75" customHeight="1">
      <c r="B679" s="164"/>
      <c r="C679" s="164"/>
      <c r="D679" s="164"/>
      <c r="E679" s="164"/>
      <c r="F679" s="164"/>
      <c r="G679" s="158"/>
      <c r="H679" s="158"/>
    </row>
    <row r="680" ht="15.75" customHeight="1">
      <c r="B680" s="164"/>
      <c r="C680" s="164"/>
      <c r="D680" s="164"/>
      <c r="E680" s="164"/>
      <c r="F680" s="164"/>
      <c r="G680" s="158"/>
      <c r="H680" s="158"/>
    </row>
    <row r="681" ht="15.75" customHeight="1">
      <c r="B681" s="164"/>
      <c r="C681" s="164"/>
      <c r="D681" s="164"/>
      <c r="E681" s="164"/>
      <c r="F681" s="164"/>
      <c r="G681" s="158"/>
      <c r="H681" s="158"/>
    </row>
    <row r="682" ht="15.75" customHeight="1">
      <c r="B682" s="164"/>
      <c r="C682" s="164"/>
      <c r="D682" s="164"/>
      <c r="E682" s="164"/>
      <c r="F682" s="164"/>
      <c r="G682" s="158"/>
      <c r="H682" s="158"/>
    </row>
    <row r="683" ht="15.75" customHeight="1">
      <c r="B683" s="164"/>
      <c r="C683" s="164"/>
      <c r="D683" s="164"/>
      <c r="E683" s="164"/>
      <c r="F683" s="164"/>
      <c r="G683" s="158"/>
      <c r="H683" s="158"/>
    </row>
    <row r="684" ht="15.75" customHeight="1">
      <c r="B684" s="164"/>
      <c r="C684" s="164"/>
      <c r="D684" s="164"/>
      <c r="E684" s="164"/>
      <c r="F684" s="164"/>
      <c r="G684" s="158"/>
      <c r="H684" s="158"/>
    </row>
    <row r="685" ht="15.75" customHeight="1">
      <c r="B685" s="164"/>
      <c r="C685" s="164"/>
      <c r="D685" s="164"/>
      <c r="E685" s="164"/>
      <c r="F685" s="164"/>
      <c r="G685" s="158"/>
      <c r="H685" s="158"/>
    </row>
    <row r="686" ht="15.75" customHeight="1">
      <c r="B686" s="164"/>
      <c r="C686" s="164"/>
      <c r="D686" s="164"/>
      <c r="E686" s="164"/>
      <c r="F686" s="164"/>
      <c r="G686" s="158"/>
      <c r="H686" s="158"/>
    </row>
    <row r="687" ht="15.75" customHeight="1">
      <c r="B687" s="164"/>
      <c r="C687" s="164"/>
      <c r="D687" s="164"/>
      <c r="E687" s="164"/>
      <c r="F687" s="164"/>
      <c r="G687" s="158"/>
      <c r="H687" s="158"/>
    </row>
    <row r="688" ht="15.75" customHeight="1">
      <c r="B688" s="164"/>
      <c r="C688" s="164"/>
      <c r="D688" s="164"/>
      <c r="E688" s="164"/>
      <c r="F688" s="164"/>
      <c r="G688" s="158"/>
      <c r="H688" s="158"/>
    </row>
    <row r="689" ht="15.75" customHeight="1">
      <c r="B689" s="164"/>
      <c r="C689" s="164"/>
      <c r="D689" s="164"/>
      <c r="E689" s="164"/>
      <c r="F689" s="164"/>
      <c r="G689" s="158"/>
      <c r="H689" s="158"/>
    </row>
    <row r="690" ht="15.75" customHeight="1">
      <c r="B690" s="164"/>
      <c r="C690" s="164"/>
      <c r="D690" s="164"/>
      <c r="E690" s="164"/>
      <c r="F690" s="164"/>
      <c r="G690" s="158"/>
      <c r="H690" s="158"/>
    </row>
    <row r="691" ht="15.75" customHeight="1">
      <c r="B691" s="164"/>
      <c r="C691" s="164"/>
      <c r="D691" s="164"/>
      <c r="E691" s="164"/>
      <c r="F691" s="164"/>
      <c r="G691" s="158"/>
      <c r="H691" s="158"/>
    </row>
    <row r="692" ht="15.75" customHeight="1">
      <c r="B692" s="164"/>
      <c r="C692" s="164"/>
      <c r="D692" s="164"/>
      <c r="E692" s="164"/>
      <c r="F692" s="164"/>
      <c r="G692" s="158"/>
      <c r="H692" s="158"/>
    </row>
    <row r="693" ht="15.75" customHeight="1">
      <c r="B693" s="164"/>
      <c r="C693" s="164"/>
      <c r="D693" s="164"/>
      <c r="E693" s="164"/>
      <c r="F693" s="164"/>
      <c r="G693" s="158"/>
      <c r="H693" s="158"/>
    </row>
    <row r="694" ht="15.75" customHeight="1">
      <c r="B694" s="164"/>
      <c r="C694" s="164"/>
      <c r="D694" s="164"/>
      <c r="E694" s="164"/>
      <c r="F694" s="164"/>
      <c r="G694" s="158"/>
      <c r="H694" s="158"/>
    </row>
    <row r="695" ht="15.75" customHeight="1">
      <c r="B695" s="164"/>
      <c r="C695" s="164"/>
      <c r="D695" s="164"/>
      <c r="E695" s="164"/>
      <c r="F695" s="164"/>
      <c r="G695" s="158"/>
      <c r="H695" s="158"/>
    </row>
    <row r="696" ht="15.75" customHeight="1">
      <c r="B696" s="164"/>
      <c r="C696" s="164"/>
      <c r="D696" s="164"/>
      <c r="E696" s="164"/>
      <c r="F696" s="164"/>
      <c r="G696" s="158"/>
      <c r="H696" s="158"/>
    </row>
    <row r="697" ht="15.75" customHeight="1">
      <c r="B697" s="164"/>
      <c r="C697" s="164"/>
      <c r="D697" s="164"/>
      <c r="E697" s="164"/>
      <c r="F697" s="164"/>
      <c r="G697" s="158"/>
      <c r="H697" s="158"/>
    </row>
    <row r="698" ht="15.75" customHeight="1">
      <c r="B698" s="164"/>
      <c r="C698" s="164"/>
      <c r="D698" s="164"/>
      <c r="E698" s="164"/>
      <c r="F698" s="164"/>
      <c r="G698" s="158"/>
      <c r="H698" s="158"/>
    </row>
    <row r="699" ht="15.75" customHeight="1">
      <c r="B699" s="164"/>
      <c r="C699" s="164"/>
      <c r="D699" s="164"/>
      <c r="E699" s="164"/>
      <c r="F699" s="164"/>
      <c r="G699" s="158"/>
      <c r="H699" s="158"/>
    </row>
    <row r="700" ht="15.75" customHeight="1">
      <c r="B700" s="164"/>
      <c r="C700" s="164"/>
      <c r="D700" s="164"/>
      <c r="E700" s="164"/>
      <c r="F700" s="164"/>
      <c r="G700" s="158"/>
      <c r="H700" s="158"/>
    </row>
    <row r="701" ht="15.75" customHeight="1">
      <c r="B701" s="164"/>
      <c r="C701" s="164"/>
      <c r="D701" s="164"/>
      <c r="E701" s="164"/>
      <c r="F701" s="164"/>
      <c r="G701" s="158"/>
      <c r="H701" s="158"/>
    </row>
    <row r="702" ht="15.75" customHeight="1">
      <c r="B702" s="164"/>
      <c r="C702" s="164"/>
      <c r="D702" s="164"/>
      <c r="E702" s="164"/>
      <c r="F702" s="164"/>
      <c r="G702" s="158"/>
      <c r="H702" s="158"/>
    </row>
    <row r="703" ht="15.75" customHeight="1">
      <c r="B703" s="164"/>
      <c r="C703" s="164"/>
      <c r="D703" s="164"/>
      <c r="E703" s="164"/>
      <c r="F703" s="164"/>
      <c r="G703" s="158"/>
      <c r="H703" s="158"/>
    </row>
    <row r="704" ht="15.75" customHeight="1">
      <c r="B704" s="164"/>
      <c r="C704" s="164"/>
      <c r="D704" s="164"/>
      <c r="E704" s="164"/>
      <c r="F704" s="164"/>
      <c r="G704" s="158"/>
      <c r="H704" s="158"/>
    </row>
    <row r="705" ht="15.75" customHeight="1">
      <c r="B705" s="164"/>
      <c r="C705" s="164"/>
      <c r="D705" s="164"/>
      <c r="E705" s="164"/>
      <c r="F705" s="164"/>
      <c r="G705" s="158"/>
      <c r="H705" s="158"/>
    </row>
    <row r="706" ht="15.75" customHeight="1">
      <c r="B706" s="164"/>
      <c r="C706" s="164"/>
      <c r="D706" s="164"/>
      <c r="E706" s="164"/>
      <c r="F706" s="164"/>
      <c r="G706" s="158"/>
      <c r="H706" s="158"/>
    </row>
    <row r="707" ht="15.75" customHeight="1">
      <c r="B707" s="164"/>
      <c r="C707" s="164"/>
      <c r="D707" s="164"/>
      <c r="E707" s="164"/>
      <c r="F707" s="164"/>
      <c r="G707" s="158"/>
      <c r="H707" s="158"/>
    </row>
    <row r="708" ht="15.75" customHeight="1">
      <c r="B708" s="164"/>
      <c r="C708" s="164"/>
      <c r="D708" s="164"/>
      <c r="E708" s="164"/>
      <c r="F708" s="164"/>
      <c r="G708" s="158"/>
      <c r="H708" s="158"/>
    </row>
    <row r="709" ht="15.75" customHeight="1">
      <c r="B709" s="164"/>
      <c r="C709" s="164"/>
      <c r="D709" s="164"/>
      <c r="E709" s="164"/>
      <c r="F709" s="164"/>
      <c r="G709" s="158"/>
      <c r="H709" s="158"/>
    </row>
    <row r="710" ht="15.75" customHeight="1">
      <c r="B710" s="164"/>
      <c r="C710" s="164"/>
      <c r="D710" s="164"/>
      <c r="E710" s="164"/>
      <c r="F710" s="164"/>
      <c r="G710" s="158"/>
      <c r="H710" s="158"/>
    </row>
    <row r="711" ht="15.75" customHeight="1">
      <c r="B711" s="164"/>
      <c r="C711" s="164"/>
      <c r="D711" s="164"/>
      <c r="E711" s="164"/>
      <c r="F711" s="164"/>
      <c r="G711" s="158"/>
      <c r="H711" s="158"/>
    </row>
    <row r="712" ht="15.75" customHeight="1">
      <c r="B712" s="164"/>
      <c r="C712" s="164"/>
      <c r="D712" s="164"/>
      <c r="E712" s="164"/>
      <c r="F712" s="164"/>
      <c r="G712" s="158"/>
      <c r="H712" s="158"/>
    </row>
    <row r="713" ht="15.75" customHeight="1">
      <c r="B713" s="164"/>
      <c r="C713" s="164"/>
      <c r="D713" s="164"/>
      <c r="E713" s="164"/>
      <c r="F713" s="164"/>
      <c r="G713" s="158"/>
      <c r="H713" s="158"/>
    </row>
    <row r="714" ht="15.75" customHeight="1">
      <c r="B714" s="164"/>
      <c r="C714" s="164"/>
      <c r="D714" s="164"/>
      <c r="E714" s="164"/>
      <c r="F714" s="164"/>
      <c r="G714" s="158"/>
      <c r="H714" s="158"/>
    </row>
    <row r="715" ht="15.75" customHeight="1">
      <c r="B715" s="164"/>
      <c r="C715" s="164"/>
      <c r="D715" s="164"/>
      <c r="E715" s="164"/>
      <c r="F715" s="164"/>
      <c r="G715" s="158"/>
      <c r="H715" s="158"/>
    </row>
    <row r="716" ht="15.75" customHeight="1">
      <c r="B716" s="164"/>
      <c r="C716" s="164"/>
      <c r="D716" s="164"/>
      <c r="E716" s="164"/>
      <c r="F716" s="164"/>
      <c r="G716" s="158"/>
      <c r="H716" s="158"/>
    </row>
    <row r="717" ht="15.75" customHeight="1">
      <c r="B717" s="164"/>
      <c r="C717" s="164"/>
      <c r="D717" s="164"/>
      <c r="E717" s="164"/>
      <c r="F717" s="164"/>
      <c r="G717" s="158"/>
      <c r="H717" s="158"/>
    </row>
    <row r="718" ht="15.75" customHeight="1">
      <c r="B718" s="164"/>
      <c r="C718" s="164"/>
      <c r="D718" s="164"/>
      <c r="E718" s="164"/>
      <c r="F718" s="164"/>
      <c r="G718" s="158"/>
      <c r="H718" s="158"/>
    </row>
    <row r="719" ht="15.75" customHeight="1">
      <c r="B719" s="164"/>
      <c r="C719" s="164"/>
      <c r="D719" s="164"/>
      <c r="E719" s="164"/>
      <c r="F719" s="164"/>
      <c r="G719" s="158"/>
      <c r="H719" s="158"/>
    </row>
    <row r="720" ht="15.75" customHeight="1">
      <c r="B720" s="164"/>
      <c r="C720" s="164"/>
      <c r="D720" s="164"/>
      <c r="E720" s="164"/>
      <c r="F720" s="164"/>
      <c r="G720" s="158"/>
      <c r="H720" s="158"/>
    </row>
    <row r="721" ht="15.75" customHeight="1">
      <c r="B721" s="164"/>
      <c r="C721" s="164"/>
      <c r="D721" s="164"/>
      <c r="E721" s="164"/>
      <c r="F721" s="164"/>
      <c r="G721" s="158"/>
      <c r="H721" s="158"/>
    </row>
    <row r="722" ht="15.75" customHeight="1">
      <c r="B722" s="164"/>
      <c r="C722" s="164"/>
      <c r="D722" s="164"/>
      <c r="E722" s="164"/>
      <c r="F722" s="164"/>
      <c r="G722" s="158"/>
      <c r="H722" s="158"/>
    </row>
    <row r="723" ht="15.75" customHeight="1">
      <c r="B723" s="164"/>
      <c r="C723" s="164"/>
      <c r="D723" s="164"/>
      <c r="E723" s="164"/>
      <c r="F723" s="164"/>
      <c r="G723" s="158"/>
      <c r="H723" s="158"/>
    </row>
    <row r="724" ht="15.75" customHeight="1">
      <c r="B724" s="164"/>
      <c r="C724" s="164"/>
      <c r="D724" s="164"/>
      <c r="E724" s="164"/>
      <c r="F724" s="164"/>
      <c r="G724" s="158"/>
      <c r="H724" s="158"/>
    </row>
    <row r="725" ht="15.75" customHeight="1">
      <c r="B725" s="164"/>
      <c r="C725" s="164"/>
      <c r="D725" s="164"/>
      <c r="E725" s="164"/>
      <c r="F725" s="164"/>
      <c r="G725" s="158"/>
      <c r="H725" s="158"/>
    </row>
    <row r="726" ht="15.75" customHeight="1">
      <c r="B726" s="164"/>
      <c r="C726" s="164"/>
      <c r="D726" s="164"/>
      <c r="E726" s="164"/>
      <c r="F726" s="164"/>
      <c r="G726" s="158"/>
      <c r="H726" s="158"/>
    </row>
    <row r="727" ht="15.75" customHeight="1">
      <c r="B727" s="164"/>
      <c r="C727" s="164"/>
      <c r="D727" s="164"/>
      <c r="E727" s="164"/>
      <c r="F727" s="164"/>
      <c r="G727" s="158"/>
      <c r="H727" s="158"/>
    </row>
    <row r="728" ht="15.75" customHeight="1">
      <c r="B728" s="164"/>
      <c r="C728" s="164"/>
      <c r="D728" s="164"/>
      <c r="E728" s="164"/>
      <c r="F728" s="164"/>
      <c r="G728" s="158"/>
      <c r="H728" s="158"/>
    </row>
    <row r="729" ht="15.75" customHeight="1">
      <c r="B729" s="164"/>
      <c r="C729" s="164"/>
      <c r="D729" s="164"/>
      <c r="E729" s="164"/>
      <c r="F729" s="164"/>
      <c r="G729" s="158"/>
      <c r="H729" s="158"/>
    </row>
    <row r="730" ht="15.75" customHeight="1">
      <c r="B730" s="164"/>
      <c r="C730" s="164"/>
      <c r="D730" s="164"/>
      <c r="E730" s="164"/>
      <c r="F730" s="164"/>
      <c r="G730" s="158"/>
      <c r="H730" s="158"/>
    </row>
    <row r="731" ht="15.75" customHeight="1">
      <c r="B731" s="164"/>
      <c r="C731" s="164"/>
      <c r="D731" s="164"/>
      <c r="E731" s="164"/>
      <c r="F731" s="164"/>
      <c r="G731" s="158"/>
      <c r="H731" s="158"/>
    </row>
    <row r="732" ht="15.75" customHeight="1">
      <c r="B732" s="164"/>
      <c r="C732" s="164"/>
      <c r="D732" s="164"/>
      <c r="E732" s="164"/>
      <c r="F732" s="164"/>
      <c r="G732" s="158"/>
      <c r="H732" s="158"/>
    </row>
    <row r="733" ht="15.75" customHeight="1">
      <c r="B733" s="164"/>
      <c r="C733" s="164"/>
      <c r="D733" s="164"/>
      <c r="E733" s="164"/>
      <c r="F733" s="164"/>
      <c r="G733" s="158"/>
      <c r="H733" s="158"/>
    </row>
    <row r="734" ht="15.75" customHeight="1">
      <c r="B734" s="164"/>
      <c r="C734" s="164"/>
      <c r="D734" s="164"/>
      <c r="E734" s="164"/>
      <c r="F734" s="164"/>
      <c r="G734" s="158"/>
      <c r="H734" s="158"/>
    </row>
    <row r="735" ht="15.75" customHeight="1">
      <c r="B735" s="164"/>
      <c r="C735" s="164"/>
      <c r="D735" s="164"/>
      <c r="E735" s="164"/>
      <c r="F735" s="164"/>
      <c r="G735" s="158"/>
      <c r="H735" s="158"/>
    </row>
    <row r="736" ht="15.75" customHeight="1">
      <c r="B736" s="164"/>
      <c r="C736" s="164"/>
      <c r="D736" s="164"/>
      <c r="E736" s="164"/>
      <c r="F736" s="164"/>
      <c r="G736" s="158"/>
      <c r="H736" s="158"/>
    </row>
    <row r="737" ht="15.75" customHeight="1">
      <c r="B737" s="164"/>
      <c r="C737" s="164"/>
      <c r="D737" s="164"/>
      <c r="E737" s="164"/>
      <c r="F737" s="164"/>
      <c r="G737" s="158"/>
      <c r="H737" s="158"/>
    </row>
    <row r="738" ht="15.75" customHeight="1">
      <c r="B738" s="164"/>
      <c r="C738" s="164"/>
      <c r="D738" s="164"/>
      <c r="E738" s="164"/>
      <c r="F738" s="164"/>
      <c r="G738" s="158"/>
      <c r="H738" s="158"/>
    </row>
    <row r="739" ht="15.75" customHeight="1">
      <c r="B739" s="164"/>
      <c r="C739" s="164"/>
      <c r="D739" s="164"/>
      <c r="E739" s="164"/>
      <c r="F739" s="164"/>
      <c r="G739" s="158"/>
      <c r="H739" s="158"/>
    </row>
    <row r="740" ht="15.75" customHeight="1">
      <c r="B740" s="164"/>
      <c r="C740" s="164"/>
      <c r="D740" s="164"/>
      <c r="E740" s="164"/>
      <c r="F740" s="164"/>
      <c r="G740" s="158"/>
      <c r="H740" s="158"/>
    </row>
    <row r="741" ht="15.75" customHeight="1">
      <c r="B741" s="164"/>
      <c r="C741" s="164"/>
      <c r="D741" s="164"/>
      <c r="E741" s="164"/>
      <c r="F741" s="164"/>
      <c r="G741" s="158"/>
      <c r="H741" s="158"/>
    </row>
    <row r="742" ht="15.75" customHeight="1">
      <c r="B742" s="164"/>
      <c r="C742" s="164"/>
      <c r="D742" s="164"/>
      <c r="E742" s="164"/>
      <c r="F742" s="164"/>
      <c r="G742" s="158"/>
      <c r="H742" s="158"/>
    </row>
    <row r="743" ht="15.75" customHeight="1">
      <c r="B743" s="164"/>
      <c r="C743" s="164"/>
      <c r="D743" s="164"/>
      <c r="E743" s="164"/>
      <c r="F743" s="164"/>
      <c r="G743" s="158"/>
      <c r="H743" s="158"/>
    </row>
    <row r="744" ht="15.75" customHeight="1">
      <c r="B744" s="164"/>
      <c r="C744" s="164"/>
      <c r="D744" s="164"/>
      <c r="E744" s="164"/>
      <c r="F744" s="164"/>
      <c r="G744" s="158"/>
      <c r="H744" s="158"/>
    </row>
    <row r="745" ht="15.75" customHeight="1">
      <c r="B745" s="164"/>
      <c r="C745" s="164"/>
      <c r="D745" s="164"/>
      <c r="E745" s="164"/>
      <c r="F745" s="164"/>
      <c r="G745" s="158"/>
      <c r="H745" s="158"/>
    </row>
    <row r="746" ht="15.75" customHeight="1">
      <c r="B746" s="164"/>
      <c r="C746" s="164"/>
      <c r="D746" s="164"/>
      <c r="E746" s="164"/>
      <c r="F746" s="164"/>
      <c r="G746" s="158"/>
      <c r="H746" s="158"/>
    </row>
    <row r="747" ht="15.75" customHeight="1">
      <c r="B747" s="164"/>
      <c r="C747" s="164"/>
      <c r="D747" s="164"/>
      <c r="E747" s="164"/>
      <c r="F747" s="164"/>
      <c r="G747" s="158"/>
      <c r="H747" s="158"/>
    </row>
    <row r="748" ht="15.75" customHeight="1">
      <c r="B748" s="164"/>
      <c r="C748" s="164"/>
      <c r="D748" s="164"/>
      <c r="E748" s="164"/>
      <c r="F748" s="164"/>
      <c r="G748" s="158"/>
      <c r="H748" s="158"/>
    </row>
    <row r="749" ht="15.75" customHeight="1">
      <c r="B749" s="164"/>
      <c r="C749" s="164"/>
      <c r="D749" s="164"/>
      <c r="E749" s="164"/>
      <c r="F749" s="164"/>
      <c r="G749" s="158"/>
      <c r="H749" s="158"/>
    </row>
    <row r="750" ht="15.75" customHeight="1">
      <c r="B750" s="164"/>
      <c r="C750" s="164"/>
      <c r="D750" s="164"/>
      <c r="E750" s="164"/>
      <c r="F750" s="164"/>
      <c r="G750" s="158"/>
      <c r="H750" s="158"/>
    </row>
    <row r="751" ht="15.75" customHeight="1">
      <c r="B751" s="164"/>
      <c r="C751" s="164"/>
      <c r="D751" s="164"/>
      <c r="E751" s="164"/>
      <c r="F751" s="164"/>
      <c r="G751" s="158"/>
      <c r="H751" s="158"/>
    </row>
    <row r="752" ht="15.75" customHeight="1">
      <c r="B752" s="164"/>
      <c r="C752" s="164"/>
      <c r="D752" s="164"/>
      <c r="E752" s="164"/>
      <c r="F752" s="164"/>
      <c r="G752" s="158"/>
      <c r="H752" s="158"/>
    </row>
    <row r="753" ht="15.75" customHeight="1">
      <c r="B753" s="164"/>
      <c r="C753" s="164"/>
      <c r="D753" s="164"/>
      <c r="E753" s="164"/>
      <c r="F753" s="164"/>
      <c r="G753" s="158"/>
      <c r="H753" s="158"/>
    </row>
    <row r="754" ht="15.75" customHeight="1">
      <c r="B754" s="164"/>
      <c r="C754" s="164"/>
      <c r="D754" s="164"/>
      <c r="E754" s="164"/>
      <c r="F754" s="164"/>
      <c r="G754" s="158"/>
      <c r="H754" s="158"/>
    </row>
    <row r="755" ht="15.75" customHeight="1">
      <c r="B755" s="164"/>
      <c r="C755" s="164"/>
      <c r="D755" s="164"/>
      <c r="E755" s="164"/>
      <c r="F755" s="164"/>
      <c r="G755" s="158"/>
      <c r="H755" s="158"/>
    </row>
    <row r="756" ht="15.75" customHeight="1">
      <c r="B756" s="164"/>
      <c r="C756" s="164"/>
      <c r="D756" s="164"/>
      <c r="E756" s="164"/>
      <c r="F756" s="164"/>
      <c r="G756" s="158"/>
      <c r="H756" s="158"/>
    </row>
    <row r="757" ht="15.75" customHeight="1">
      <c r="B757" s="164"/>
      <c r="C757" s="164"/>
      <c r="D757" s="164"/>
      <c r="E757" s="164"/>
      <c r="F757" s="164"/>
      <c r="G757" s="158"/>
      <c r="H757" s="158"/>
    </row>
    <row r="758" ht="15.75" customHeight="1">
      <c r="B758" s="164"/>
      <c r="C758" s="164"/>
      <c r="D758" s="164"/>
      <c r="E758" s="164"/>
      <c r="F758" s="164"/>
      <c r="G758" s="158"/>
      <c r="H758" s="158"/>
    </row>
    <row r="759" ht="15.75" customHeight="1">
      <c r="B759" s="164"/>
      <c r="C759" s="164"/>
      <c r="D759" s="164"/>
      <c r="E759" s="164"/>
      <c r="F759" s="164"/>
      <c r="G759" s="158"/>
      <c r="H759" s="158"/>
    </row>
    <row r="760" ht="15.75" customHeight="1">
      <c r="B760" s="164"/>
      <c r="C760" s="164"/>
      <c r="D760" s="164"/>
      <c r="E760" s="164"/>
      <c r="F760" s="164"/>
      <c r="G760" s="158"/>
      <c r="H760" s="158"/>
    </row>
    <row r="761" ht="15.75" customHeight="1">
      <c r="B761" s="164"/>
      <c r="C761" s="164"/>
      <c r="D761" s="164"/>
      <c r="E761" s="164"/>
      <c r="F761" s="164"/>
      <c r="G761" s="158"/>
      <c r="H761" s="158"/>
    </row>
    <row r="762" ht="15.75" customHeight="1">
      <c r="B762" s="164"/>
      <c r="C762" s="164"/>
      <c r="D762" s="164"/>
      <c r="E762" s="164"/>
      <c r="F762" s="164"/>
      <c r="G762" s="158"/>
      <c r="H762" s="158"/>
    </row>
    <row r="763" ht="15.75" customHeight="1">
      <c r="B763" s="164"/>
      <c r="C763" s="164"/>
      <c r="D763" s="164"/>
      <c r="E763" s="164"/>
      <c r="F763" s="164"/>
      <c r="G763" s="158"/>
      <c r="H763" s="158"/>
    </row>
    <row r="764" ht="15.75" customHeight="1">
      <c r="B764" s="164"/>
      <c r="C764" s="164"/>
      <c r="D764" s="164"/>
      <c r="E764" s="164"/>
      <c r="F764" s="164"/>
      <c r="G764" s="158"/>
      <c r="H764" s="158"/>
    </row>
    <row r="765" ht="15.75" customHeight="1">
      <c r="B765" s="164"/>
      <c r="C765" s="164"/>
      <c r="D765" s="164"/>
      <c r="E765" s="164"/>
      <c r="F765" s="164"/>
      <c r="G765" s="158"/>
      <c r="H765" s="158"/>
    </row>
    <row r="766" ht="15.75" customHeight="1">
      <c r="B766" s="164"/>
      <c r="C766" s="164"/>
      <c r="D766" s="164"/>
      <c r="E766" s="164"/>
      <c r="F766" s="164"/>
      <c r="G766" s="158"/>
      <c r="H766" s="158"/>
    </row>
    <row r="767" ht="15.75" customHeight="1">
      <c r="B767" s="164"/>
      <c r="C767" s="164"/>
      <c r="D767" s="164"/>
      <c r="E767" s="164"/>
      <c r="F767" s="164"/>
      <c r="G767" s="158"/>
      <c r="H767" s="158"/>
    </row>
    <row r="768" ht="15.75" customHeight="1">
      <c r="B768" s="164"/>
      <c r="C768" s="164"/>
      <c r="D768" s="164"/>
      <c r="E768" s="164"/>
      <c r="F768" s="164"/>
      <c r="G768" s="158"/>
      <c r="H768" s="158"/>
    </row>
    <row r="769" ht="15.75" customHeight="1">
      <c r="B769" s="164"/>
      <c r="C769" s="164"/>
      <c r="D769" s="164"/>
      <c r="E769" s="164"/>
      <c r="F769" s="164"/>
      <c r="G769" s="158"/>
      <c r="H769" s="158"/>
    </row>
    <row r="770" ht="15.75" customHeight="1">
      <c r="B770" s="164"/>
      <c r="C770" s="164"/>
      <c r="D770" s="164"/>
      <c r="E770" s="164"/>
      <c r="F770" s="164"/>
      <c r="G770" s="158"/>
      <c r="H770" s="158"/>
    </row>
    <row r="771" ht="15.75" customHeight="1">
      <c r="B771" s="164"/>
      <c r="C771" s="164"/>
      <c r="D771" s="164"/>
      <c r="E771" s="164"/>
      <c r="F771" s="164"/>
      <c r="G771" s="158"/>
      <c r="H771" s="158"/>
    </row>
    <row r="772" ht="15.75" customHeight="1">
      <c r="B772" s="164"/>
      <c r="C772" s="164"/>
      <c r="D772" s="164"/>
      <c r="E772" s="164"/>
      <c r="F772" s="164"/>
      <c r="G772" s="158"/>
      <c r="H772" s="158"/>
    </row>
    <row r="773" ht="15.75" customHeight="1">
      <c r="B773" s="164"/>
      <c r="C773" s="164"/>
      <c r="D773" s="164"/>
      <c r="E773" s="164"/>
      <c r="F773" s="164"/>
      <c r="G773" s="158"/>
      <c r="H773" s="158"/>
    </row>
    <row r="774" ht="15.75" customHeight="1">
      <c r="B774" s="164"/>
      <c r="C774" s="164"/>
      <c r="D774" s="164"/>
      <c r="E774" s="164"/>
      <c r="F774" s="164"/>
      <c r="G774" s="158"/>
      <c r="H774" s="158"/>
    </row>
    <row r="775" ht="15.75" customHeight="1">
      <c r="B775" s="164"/>
      <c r="C775" s="164"/>
      <c r="D775" s="164"/>
      <c r="E775" s="164"/>
      <c r="F775" s="164"/>
      <c r="G775" s="158"/>
      <c r="H775" s="158"/>
    </row>
    <row r="776" ht="15.75" customHeight="1">
      <c r="B776" s="164"/>
      <c r="C776" s="164"/>
      <c r="D776" s="164"/>
      <c r="E776" s="164"/>
      <c r="F776" s="164"/>
      <c r="G776" s="158"/>
      <c r="H776" s="158"/>
    </row>
    <row r="777" ht="15.75" customHeight="1">
      <c r="B777" s="164"/>
      <c r="C777" s="164"/>
      <c r="D777" s="164"/>
      <c r="E777" s="164"/>
      <c r="F777" s="164"/>
      <c r="G777" s="158"/>
      <c r="H777" s="158"/>
    </row>
    <row r="778" ht="15.75" customHeight="1">
      <c r="B778" s="164"/>
      <c r="C778" s="164"/>
      <c r="D778" s="164"/>
      <c r="E778" s="164"/>
      <c r="F778" s="164"/>
      <c r="G778" s="158"/>
      <c r="H778" s="158"/>
    </row>
    <row r="779" ht="15.75" customHeight="1">
      <c r="B779" s="164"/>
      <c r="C779" s="164"/>
      <c r="D779" s="164"/>
      <c r="E779" s="164"/>
      <c r="F779" s="164"/>
      <c r="G779" s="158"/>
      <c r="H779" s="158"/>
    </row>
    <row r="780" ht="15.75" customHeight="1">
      <c r="B780" s="164"/>
      <c r="C780" s="164"/>
      <c r="D780" s="164"/>
      <c r="E780" s="164"/>
      <c r="F780" s="164"/>
      <c r="G780" s="158"/>
      <c r="H780" s="158"/>
    </row>
    <row r="781" ht="15.75" customHeight="1">
      <c r="B781" s="164"/>
      <c r="C781" s="164"/>
      <c r="D781" s="164"/>
      <c r="E781" s="164"/>
      <c r="F781" s="164"/>
      <c r="G781" s="158"/>
      <c r="H781" s="158"/>
    </row>
    <row r="782" ht="15.75" customHeight="1">
      <c r="B782" s="164"/>
      <c r="C782" s="164"/>
      <c r="D782" s="164"/>
      <c r="E782" s="164"/>
      <c r="F782" s="164"/>
      <c r="G782" s="158"/>
      <c r="H782" s="158"/>
    </row>
    <row r="783" ht="15.75" customHeight="1">
      <c r="B783" s="164"/>
      <c r="C783" s="164"/>
      <c r="D783" s="164"/>
      <c r="E783" s="164"/>
      <c r="F783" s="164"/>
      <c r="G783" s="158"/>
      <c r="H783" s="158"/>
    </row>
    <row r="784" ht="15.75" customHeight="1">
      <c r="B784" s="164"/>
      <c r="C784" s="164"/>
      <c r="D784" s="164"/>
      <c r="E784" s="164"/>
      <c r="F784" s="164"/>
      <c r="G784" s="158"/>
      <c r="H784" s="158"/>
    </row>
    <row r="785" ht="15.75" customHeight="1">
      <c r="B785" s="164"/>
      <c r="C785" s="164"/>
      <c r="D785" s="164"/>
      <c r="E785" s="164"/>
      <c r="F785" s="164"/>
      <c r="G785" s="158"/>
      <c r="H785" s="158"/>
    </row>
    <row r="786" ht="15.75" customHeight="1">
      <c r="B786" s="164"/>
      <c r="C786" s="164"/>
      <c r="D786" s="164"/>
      <c r="E786" s="164"/>
      <c r="F786" s="164"/>
      <c r="G786" s="158"/>
      <c r="H786" s="158"/>
    </row>
    <row r="787" ht="15.75" customHeight="1">
      <c r="B787" s="164"/>
      <c r="C787" s="164"/>
      <c r="D787" s="164"/>
      <c r="E787" s="164"/>
      <c r="F787" s="164"/>
      <c r="G787" s="158"/>
      <c r="H787" s="158"/>
    </row>
    <row r="788" ht="15.75" customHeight="1">
      <c r="B788" s="164"/>
      <c r="C788" s="164"/>
      <c r="D788" s="164"/>
      <c r="E788" s="164"/>
      <c r="F788" s="164"/>
      <c r="G788" s="158"/>
      <c r="H788" s="158"/>
    </row>
    <row r="789" ht="15.75" customHeight="1">
      <c r="B789" s="164"/>
      <c r="C789" s="164"/>
      <c r="D789" s="164"/>
      <c r="E789" s="164"/>
      <c r="F789" s="164"/>
      <c r="G789" s="158"/>
      <c r="H789" s="158"/>
    </row>
    <row r="790" ht="15.75" customHeight="1">
      <c r="B790" s="164"/>
      <c r="C790" s="164"/>
      <c r="D790" s="164"/>
      <c r="E790" s="164"/>
      <c r="F790" s="164"/>
      <c r="G790" s="158"/>
      <c r="H790" s="158"/>
    </row>
    <row r="791" ht="15.75" customHeight="1">
      <c r="B791" s="164"/>
      <c r="C791" s="164"/>
      <c r="D791" s="164"/>
      <c r="E791" s="164"/>
      <c r="F791" s="164"/>
      <c r="G791" s="158"/>
      <c r="H791" s="158"/>
    </row>
    <row r="792" ht="15.75" customHeight="1">
      <c r="B792" s="164"/>
      <c r="C792" s="164"/>
      <c r="D792" s="164"/>
      <c r="E792" s="164"/>
      <c r="F792" s="164"/>
      <c r="G792" s="158"/>
      <c r="H792" s="158"/>
    </row>
    <row r="793" ht="15.75" customHeight="1">
      <c r="B793" s="164"/>
      <c r="C793" s="164"/>
      <c r="D793" s="164"/>
      <c r="E793" s="164"/>
      <c r="F793" s="164"/>
      <c r="G793" s="158"/>
      <c r="H793" s="158"/>
    </row>
    <row r="794" ht="15.75" customHeight="1">
      <c r="B794" s="164"/>
      <c r="C794" s="164"/>
      <c r="D794" s="164"/>
      <c r="E794" s="164"/>
      <c r="F794" s="164"/>
      <c r="G794" s="158"/>
      <c r="H794" s="158"/>
    </row>
    <row r="795" ht="15.75" customHeight="1">
      <c r="B795" s="164"/>
      <c r="C795" s="164"/>
      <c r="D795" s="164"/>
      <c r="E795" s="164"/>
      <c r="F795" s="164"/>
      <c r="G795" s="158"/>
      <c r="H795" s="158"/>
    </row>
    <row r="796" ht="15.75" customHeight="1">
      <c r="B796" s="164"/>
      <c r="C796" s="164"/>
      <c r="D796" s="164"/>
      <c r="E796" s="164"/>
      <c r="F796" s="164"/>
      <c r="G796" s="158"/>
      <c r="H796" s="158"/>
    </row>
    <row r="797" ht="15.75" customHeight="1">
      <c r="B797" s="164"/>
      <c r="C797" s="164"/>
      <c r="D797" s="164"/>
      <c r="E797" s="164"/>
      <c r="F797" s="164"/>
      <c r="G797" s="158"/>
      <c r="H797" s="158"/>
    </row>
    <row r="798" ht="15.75" customHeight="1">
      <c r="B798" s="164"/>
      <c r="C798" s="164"/>
      <c r="D798" s="164"/>
      <c r="E798" s="164"/>
      <c r="F798" s="164"/>
      <c r="G798" s="158"/>
      <c r="H798" s="158"/>
    </row>
    <row r="799" ht="15.75" customHeight="1">
      <c r="B799" s="164"/>
      <c r="C799" s="164"/>
      <c r="D799" s="164"/>
      <c r="E799" s="164"/>
      <c r="F799" s="164"/>
      <c r="G799" s="158"/>
      <c r="H799" s="158"/>
    </row>
    <row r="800" ht="15.75" customHeight="1">
      <c r="B800" s="164"/>
      <c r="C800" s="164"/>
      <c r="D800" s="164"/>
      <c r="E800" s="164"/>
      <c r="F800" s="164"/>
      <c r="G800" s="158"/>
      <c r="H800" s="158"/>
    </row>
    <row r="801" ht="15.75" customHeight="1">
      <c r="B801" s="164"/>
      <c r="C801" s="164"/>
      <c r="D801" s="164"/>
      <c r="E801" s="164"/>
      <c r="F801" s="164"/>
      <c r="G801" s="158"/>
      <c r="H801" s="158"/>
    </row>
    <row r="802" ht="15.75" customHeight="1">
      <c r="B802" s="164"/>
      <c r="C802" s="164"/>
      <c r="D802" s="164"/>
      <c r="E802" s="164"/>
      <c r="F802" s="164"/>
      <c r="G802" s="158"/>
      <c r="H802" s="158"/>
    </row>
    <row r="803" ht="15.75" customHeight="1">
      <c r="B803" s="164"/>
      <c r="C803" s="164"/>
      <c r="D803" s="164"/>
      <c r="E803" s="164"/>
      <c r="F803" s="164"/>
      <c r="G803" s="158"/>
      <c r="H803" s="158"/>
    </row>
    <row r="804" ht="15.75" customHeight="1">
      <c r="B804" s="164"/>
      <c r="C804" s="164"/>
      <c r="D804" s="164"/>
      <c r="E804" s="164"/>
      <c r="F804" s="164"/>
      <c r="G804" s="158"/>
      <c r="H804" s="158"/>
    </row>
    <row r="805" ht="15.75" customHeight="1">
      <c r="B805" s="164"/>
      <c r="C805" s="164"/>
      <c r="D805" s="164"/>
      <c r="E805" s="164"/>
      <c r="F805" s="164"/>
      <c r="G805" s="158"/>
      <c r="H805" s="158"/>
    </row>
    <row r="806" ht="15.75" customHeight="1">
      <c r="B806" s="164"/>
      <c r="C806" s="164"/>
      <c r="D806" s="164"/>
      <c r="E806" s="164"/>
      <c r="F806" s="164"/>
      <c r="G806" s="158"/>
      <c r="H806" s="158"/>
    </row>
    <row r="807" ht="15.75" customHeight="1">
      <c r="B807" s="164"/>
      <c r="C807" s="164"/>
      <c r="D807" s="164"/>
      <c r="E807" s="164"/>
      <c r="F807" s="164"/>
      <c r="G807" s="158"/>
      <c r="H807" s="158"/>
    </row>
    <row r="808" ht="15.75" customHeight="1">
      <c r="B808" s="164"/>
      <c r="C808" s="164"/>
      <c r="D808" s="164"/>
      <c r="E808" s="164"/>
      <c r="F808" s="164"/>
      <c r="G808" s="158"/>
      <c r="H808" s="158"/>
    </row>
    <row r="809" ht="15.75" customHeight="1">
      <c r="B809" s="164"/>
      <c r="C809" s="164"/>
      <c r="D809" s="164"/>
      <c r="E809" s="164"/>
      <c r="F809" s="164"/>
      <c r="G809" s="158"/>
      <c r="H809" s="158"/>
    </row>
    <row r="810" ht="15.75" customHeight="1">
      <c r="B810" s="164"/>
      <c r="C810" s="164"/>
      <c r="D810" s="164"/>
      <c r="E810" s="164"/>
      <c r="F810" s="164"/>
      <c r="G810" s="158"/>
      <c r="H810" s="158"/>
    </row>
    <row r="811" ht="15.75" customHeight="1">
      <c r="B811" s="164"/>
      <c r="C811" s="164"/>
      <c r="D811" s="164"/>
      <c r="E811" s="164"/>
      <c r="F811" s="164"/>
      <c r="G811" s="158"/>
      <c r="H811" s="158"/>
    </row>
    <row r="812" ht="15.75" customHeight="1">
      <c r="B812" s="164"/>
      <c r="C812" s="164"/>
      <c r="D812" s="164"/>
      <c r="E812" s="164"/>
      <c r="F812" s="164"/>
      <c r="G812" s="158"/>
      <c r="H812" s="158"/>
    </row>
    <row r="813" ht="15.75" customHeight="1">
      <c r="B813" s="164"/>
      <c r="C813" s="164"/>
      <c r="D813" s="164"/>
      <c r="E813" s="164"/>
      <c r="F813" s="164"/>
      <c r="G813" s="158"/>
      <c r="H813" s="158"/>
    </row>
    <row r="814" ht="15.75" customHeight="1">
      <c r="B814" s="164"/>
      <c r="C814" s="164"/>
      <c r="D814" s="164"/>
      <c r="E814" s="164"/>
      <c r="F814" s="164"/>
      <c r="G814" s="158"/>
      <c r="H814" s="158"/>
    </row>
    <row r="815" ht="15.75" customHeight="1">
      <c r="B815" s="164"/>
      <c r="C815" s="164"/>
      <c r="D815" s="164"/>
      <c r="E815" s="164"/>
      <c r="F815" s="164"/>
      <c r="G815" s="158"/>
      <c r="H815" s="158"/>
    </row>
    <row r="816" ht="15.75" customHeight="1">
      <c r="B816" s="164"/>
      <c r="C816" s="164"/>
      <c r="D816" s="164"/>
      <c r="E816" s="164"/>
      <c r="F816" s="164"/>
      <c r="G816" s="158"/>
      <c r="H816" s="158"/>
    </row>
    <row r="817" ht="15.75" customHeight="1">
      <c r="B817" s="164"/>
      <c r="C817" s="164"/>
      <c r="D817" s="164"/>
      <c r="E817" s="164"/>
      <c r="F817" s="164"/>
      <c r="G817" s="158"/>
      <c r="H817" s="158"/>
    </row>
    <row r="818" ht="15.75" customHeight="1">
      <c r="B818" s="164"/>
      <c r="C818" s="164"/>
      <c r="D818" s="164"/>
      <c r="E818" s="164"/>
      <c r="F818" s="164"/>
      <c r="G818" s="158"/>
      <c r="H818" s="158"/>
    </row>
    <row r="819" ht="15.75" customHeight="1">
      <c r="B819" s="164"/>
      <c r="C819" s="164"/>
      <c r="D819" s="164"/>
      <c r="E819" s="164"/>
      <c r="F819" s="164"/>
      <c r="G819" s="158"/>
      <c r="H819" s="158"/>
    </row>
    <row r="820" ht="15.75" customHeight="1">
      <c r="B820" s="164"/>
      <c r="C820" s="164"/>
      <c r="D820" s="164"/>
      <c r="E820" s="164"/>
      <c r="F820" s="164"/>
      <c r="G820" s="158"/>
      <c r="H820" s="158"/>
    </row>
    <row r="821" ht="15.75" customHeight="1">
      <c r="B821" s="164"/>
      <c r="C821" s="164"/>
      <c r="D821" s="164"/>
      <c r="E821" s="164"/>
      <c r="F821" s="164"/>
      <c r="G821" s="158"/>
      <c r="H821" s="158"/>
    </row>
    <row r="822" ht="15.75" customHeight="1">
      <c r="B822" s="164"/>
      <c r="C822" s="164"/>
      <c r="D822" s="164"/>
      <c r="E822" s="164"/>
      <c r="F822" s="164"/>
      <c r="G822" s="158"/>
      <c r="H822" s="158"/>
    </row>
    <row r="823" ht="15.75" customHeight="1">
      <c r="B823" s="164"/>
      <c r="C823" s="164"/>
      <c r="D823" s="164"/>
      <c r="E823" s="164"/>
      <c r="F823" s="164"/>
      <c r="G823" s="158"/>
      <c r="H823" s="158"/>
    </row>
    <row r="824" ht="15.75" customHeight="1">
      <c r="B824" s="164"/>
      <c r="C824" s="164"/>
      <c r="D824" s="164"/>
      <c r="E824" s="164"/>
      <c r="F824" s="164"/>
      <c r="G824" s="158"/>
      <c r="H824" s="158"/>
    </row>
    <row r="825" ht="15.75" customHeight="1">
      <c r="B825" s="164"/>
      <c r="C825" s="164"/>
      <c r="D825" s="164"/>
      <c r="E825" s="164"/>
      <c r="F825" s="164"/>
      <c r="G825" s="158"/>
      <c r="H825" s="158"/>
    </row>
    <row r="826" ht="15.75" customHeight="1">
      <c r="B826" s="164"/>
      <c r="C826" s="164"/>
      <c r="D826" s="164"/>
      <c r="E826" s="164"/>
      <c r="F826" s="164"/>
      <c r="G826" s="158"/>
      <c r="H826" s="158"/>
    </row>
    <row r="827" ht="15.75" customHeight="1">
      <c r="B827" s="164"/>
      <c r="C827" s="164"/>
      <c r="D827" s="164"/>
      <c r="E827" s="164"/>
      <c r="F827" s="164"/>
      <c r="G827" s="158"/>
      <c r="H827" s="158"/>
    </row>
    <row r="828" ht="15.75" customHeight="1">
      <c r="B828" s="164"/>
      <c r="C828" s="164"/>
      <c r="D828" s="164"/>
      <c r="E828" s="164"/>
      <c r="F828" s="164"/>
      <c r="G828" s="158"/>
      <c r="H828" s="158"/>
    </row>
    <row r="829" ht="15.75" customHeight="1">
      <c r="B829" s="164"/>
      <c r="C829" s="164"/>
      <c r="D829" s="164"/>
      <c r="E829" s="164"/>
      <c r="F829" s="164"/>
      <c r="G829" s="158"/>
      <c r="H829" s="158"/>
    </row>
    <row r="830" ht="15.75" customHeight="1">
      <c r="B830" s="164"/>
      <c r="C830" s="164"/>
      <c r="D830" s="164"/>
      <c r="E830" s="164"/>
      <c r="F830" s="164"/>
      <c r="G830" s="158"/>
      <c r="H830" s="158"/>
    </row>
    <row r="831" ht="15.75" customHeight="1">
      <c r="B831" s="164"/>
      <c r="C831" s="164"/>
      <c r="D831" s="164"/>
      <c r="E831" s="164"/>
      <c r="F831" s="164"/>
      <c r="G831" s="158"/>
      <c r="H831" s="158"/>
    </row>
    <row r="832" ht="15.75" customHeight="1">
      <c r="B832" s="164"/>
      <c r="C832" s="164"/>
      <c r="D832" s="164"/>
      <c r="E832" s="164"/>
      <c r="F832" s="164"/>
      <c r="G832" s="158"/>
      <c r="H832" s="158"/>
    </row>
    <row r="833" ht="15.75" customHeight="1">
      <c r="B833" s="164"/>
      <c r="C833" s="164"/>
      <c r="D833" s="164"/>
      <c r="E833" s="164"/>
      <c r="F833" s="164"/>
      <c r="G833" s="158"/>
      <c r="H833" s="158"/>
    </row>
    <row r="834" ht="15.75" customHeight="1">
      <c r="B834" s="164"/>
      <c r="C834" s="164"/>
      <c r="D834" s="164"/>
      <c r="E834" s="164"/>
      <c r="F834" s="164"/>
      <c r="G834" s="158"/>
      <c r="H834" s="158"/>
    </row>
    <row r="835" ht="15.75" customHeight="1">
      <c r="B835" s="164"/>
      <c r="C835" s="164"/>
      <c r="D835" s="164"/>
      <c r="E835" s="164"/>
      <c r="F835" s="164"/>
      <c r="G835" s="158"/>
      <c r="H835" s="158"/>
    </row>
    <row r="836" ht="15.75" customHeight="1">
      <c r="B836" s="164"/>
      <c r="C836" s="164"/>
      <c r="D836" s="164"/>
      <c r="E836" s="164"/>
      <c r="F836" s="164"/>
      <c r="G836" s="158"/>
      <c r="H836" s="158"/>
    </row>
    <row r="837" ht="15.75" customHeight="1">
      <c r="B837" s="164"/>
      <c r="C837" s="164"/>
      <c r="D837" s="164"/>
      <c r="E837" s="164"/>
      <c r="F837" s="164"/>
      <c r="G837" s="158"/>
      <c r="H837" s="158"/>
    </row>
    <row r="838" ht="15.75" customHeight="1">
      <c r="B838" s="164"/>
      <c r="C838" s="164"/>
      <c r="D838" s="164"/>
      <c r="E838" s="164"/>
      <c r="F838" s="164"/>
      <c r="G838" s="158"/>
      <c r="H838" s="158"/>
    </row>
    <row r="839" ht="15.75" customHeight="1">
      <c r="B839" s="164"/>
      <c r="C839" s="164"/>
      <c r="D839" s="164"/>
      <c r="E839" s="164"/>
      <c r="F839" s="164"/>
      <c r="G839" s="158"/>
      <c r="H839" s="158"/>
    </row>
    <row r="840" ht="15.75" customHeight="1">
      <c r="B840" s="164"/>
      <c r="C840" s="164"/>
      <c r="D840" s="164"/>
      <c r="E840" s="164"/>
      <c r="F840" s="164"/>
      <c r="G840" s="158"/>
      <c r="H840" s="158"/>
    </row>
    <row r="841" ht="15.75" customHeight="1">
      <c r="B841" s="164"/>
      <c r="C841" s="164"/>
      <c r="D841" s="164"/>
      <c r="E841" s="164"/>
      <c r="F841" s="164"/>
      <c r="G841" s="158"/>
      <c r="H841" s="158"/>
    </row>
    <row r="842" ht="15.75" customHeight="1">
      <c r="B842" s="164"/>
      <c r="C842" s="164"/>
      <c r="D842" s="164"/>
      <c r="E842" s="164"/>
      <c r="F842" s="164"/>
      <c r="G842" s="158"/>
      <c r="H842" s="158"/>
    </row>
    <row r="843" ht="15.75" customHeight="1">
      <c r="B843" s="164"/>
      <c r="C843" s="164"/>
      <c r="D843" s="164"/>
      <c r="E843" s="164"/>
      <c r="F843" s="164"/>
      <c r="G843" s="158"/>
      <c r="H843" s="158"/>
    </row>
    <row r="844" ht="15.75" customHeight="1">
      <c r="B844" s="164"/>
      <c r="C844" s="164"/>
      <c r="D844" s="164"/>
      <c r="E844" s="164"/>
      <c r="F844" s="164"/>
      <c r="G844" s="158"/>
      <c r="H844" s="158"/>
    </row>
    <row r="845" ht="15.75" customHeight="1">
      <c r="B845" s="164"/>
      <c r="C845" s="164"/>
      <c r="D845" s="164"/>
      <c r="E845" s="164"/>
      <c r="F845" s="164"/>
      <c r="G845" s="158"/>
      <c r="H845" s="158"/>
    </row>
    <row r="846" ht="15.75" customHeight="1">
      <c r="B846" s="164"/>
      <c r="C846" s="164"/>
      <c r="D846" s="164"/>
      <c r="E846" s="164"/>
      <c r="F846" s="164"/>
      <c r="G846" s="158"/>
      <c r="H846" s="158"/>
    </row>
    <row r="847" ht="15.75" customHeight="1">
      <c r="B847" s="164"/>
      <c r="C847" s="164"/>
      <c r="D847" s="164"/>
      <c r="E847" s="164"/>
      <c r="F847" s="164"/>
      <c r="G847" s="158"/>
      <c r="H847" s="158"/>
    </row>
    <row r="848" ht="15.75" customHeight="1">
      <c r="B848" s="164"/>
      <c r="C848" s="164"/>
      <c r="D848" s="164"/>
      <c r="E848" s="164"/>
      <c r="F848" s="164"/>
      <c r="G848" s="158"/>
      <c r="H848" s="158"/>
    </row>
    <row r="849" ht="15.75" customHeight="1">
      <c r="B849" s="164"/>
      <c r="C849" s="164"/>
      <c r="D849" s="164"/>
      <c r="E849" s="164"/>
      <c r="F849" s="164"/>
      <c r="G849" s="158"/>
      <c r="H849" s="158"/>
    </row>
    <row r="850" ht="15.75" customHeight="1">
      <c r="B850" s="164"/>
      <c r="C850" s="164"/>
      <c r="D850" s="164"/>
      <c r="E850" s="164"/>
      <c r="F850" s="164"/>
      <c r="G850" s="158"/>
      <c r="H850" s="158"/>
    </row>
    <row r="851" ht="15.75" customHeight="1">
      <c r="B851" s="164"/>
      <c r="C851" s="164"/>
      <c r="D851" s="164"/>
      <c r="E851" s="164"/>
      <c r="F851" s="164"/>
      <c r="G851" s="158"/>
      <c r="H851" s="158"/>
    </row>
    <row r="852" ht="15.75" customHeight="1">
      <c r="B852" s="164"/>
      <c r="C852" s="164"/>
      <c r="D852" s="164"/>
      <c r="E852" s="164"/>
      <c r="F852" s="164"/>
      <c r="G852" s="158"/>
      <c r="H852" s="158"/>
    </row>
    <row r="853" ht="15.75" customHeight="1">
      <c r="B853" s="164"/>
      <c r="C853" s="164"/>
      <c r="D853" s="164"/>
      <c r="E853" s="164"/>
      <c r="F853" s="164"/>
      <c r="G853" s="158"/>
      <c r="H853" s="158"/>
    </row>
    <row r="854" ht="15.75" customHeight="1">
      <c r="B854" s="164"/>
      <c r="C854" s="164"/>
      <c r="D854" s="164"/>
      <c r="E854" s="164"/>
      <c r="F854" s="164"/>
      <c r="G854" s="158"/>
      <c r="H854" s="158"/>
    </row>
    <row r="855" ht="15.75" customHeight="1">
      <c r="B855" s="164"/>
      <c r="C855" s="164"/>
      <c r="D855" s="164"/>
      <c r="E855" s="164"/>
      <c r="F855" s="164"/>
      <c r="G855" s="158"/>
      <c r="H855" s="158"/>
    </row>
    <row r="856" ht="15.75" customHeight="1">
      <c r="B856" s="164"/>
      <c r="C856" s="164"/>
      <c r="D856" s="164"/>
      <c r="E856" s="164"/>
      <c r="F856" s="164"/>
      <c r="G856" s="158"/>
      <c r="H856" s="158"/>
    </row>
    <row r="857" ht="15.75" customHeight="1">
      <c r="B857" s="164"/>
      <c r="C857" s="164"/>
      <c r="D857" s="164"/>
      <c r="E857" s="164"/>
      <c r="F857" s="164"/>
      <c r="G857" s="158"/>
      <c r="H857" s="158"/>
    </row>
    <row r="858" ht="15.75" customHeight="1">
      <c r="B858" s="164"/>
      <c r="C858" s="164"/>
      <c r="D858" s="164"/>
      <c r="E858" s="164"/>
      <c r="F858" s="164"/>
      <c r="G858" s="158"/>
      <c r="H858" s="158"/>
    </row>
    <row r="859" ht="15.75" customHeight="1">
      <c r="B859" s="164"/>
      <c r="C859" s="164"/>
      <c r="D859" s="164"/>
      <c r="E859" s="164"/>
      <c r="F859" s="164"/>
      <c r="G859" s="158"/>
      <c r="H859" s="158"/>
    </row>
    <row r="860" ht="15.75" customHeight="1">
      <c r="B860" s="164"/>
      <c r="C860" s="164"/>
      <c r="D860" s="164"/>
      <c r="E860" s="164"/>
      <c r="F860" s="164"/>
      <c r="G860" s="158"/>
      <c r="H860" s="158"/>
    </row>
    <row r="861" ht="15.75" customHeight="1">
      <c r="B861" s="164"/>
      <c r="C861" s="164"/>
      <c r="D861" s="164"/>
      <c r="E861" s="164"/>
      <c r="F861" s="164"/>
      <c r="G861" s="158"/>
      <c r="H861" s="158"/>
    </row>
    <row r="862" ht="15.75" customHeight="1">
      <c r="B862" s="164"/>
      <c r="C862" s="164"/>
      <c r="D862" s="164"/>
      <c r="E862" s="164"/>
      <c r="F862" s="164"/>
      <c r="G862" s="158"/>
      <c r="H862" s="158"/>
    </row>
    <row r="863" ht="15.75" customHeight="1">
      <c r="B863" s="164"/>
      <c r="C863" s="164"/>
      <c r="D863" s="164"/>
      <c r="E863" s="164"/>
      <c r="F863" s="164"/>
      <c r="G863" s="158"/>
      <c r="H863" s="158"/>
    </row>
    <row r="864" ht="15.75" customHeight="1">
      <c r="B864" s="164"/>
      <c r="C864" s="164"/>
      <c r="D864" s="164"/>
      <c r="E864" s="164"/>
      <c r="F864" s="164"/>
      <c r="G864" s="158"/>
      <c r="H864" s="158"/>
    </row>
    <row r="865" ht="15.75" customHeight="1">
      <c r="B865" s="164"/>
      <c r="C865" s="164"/>
      <c r="D865" s="164"/>
      <c r="E865" s="164"/>
      <c r="F865" s="164"/>
      <c r="G865" s="158"/>
      <c r="H865" s="158"/>
    </row>
    <row r="866" ht="15.75" customHeight="1">
      <c r="B866" s="164"/>
      <c r="C866" s="164"/>
      <c r="D866" s="164"/>
      <c r="E866" s="164"/>
      <c r="F866" s="164"/>
      <c r="G866" s="158"/>
      <c r="H866" s="158"/>
    </row>
    <row r="867" ht="15.75" customHeight="1">
      <c r="B867" s="164"/>
      <c r="C867" s="164"/>
      <c r="D867" s="164"/>
      <c r="E867" s="164"/>
      <c r="F867" s="164"/>
      <c r="G867" s="158"/>
      <c r="H867" s="158"/>
    </row>
    <row r="868" ht="15.75" customHeight="1">
      <c r="B868" s="164"/>
      <c r="C868" s="164"/>
      <c r="D868" s="164"/>
      <c r="E868" s="164"/>
      <c r="F868" s="164"/>
      <c r="G868" s="158"/>
      <c r="H868" s="158"/>
    </row>
    <row r="869" ht="15.75" customHeight="1">
      <c r="B869" s="164"/>
      <c r="C869" s="164"/>
      <c r="D869" s="164"/>
      <c r="E869" s="164"/>
      <c r="F869" s="164"/>
      <c r="G869" s="158"/>
      <c r="H869" s="158"/>
    </row>
    <row r="870" ht="15.75" customHeight="1">
      <c r="B870" s="164"/>
      <c r="C870" s="164"/>
      <c r="D870" s="164"/>
      <c r="E870" s="164"/>
      <c r="F870" s="164"/>
      <c r="G870" s="158"/>
      <c r="H870" s="158"/>
    </row>
    <row r="871" ht="15.75" customHeight="1">
      <c r="B871" s="164"/>
      <c r="C871" s="164"/>
      <c r="D871" s="164"/>
      <c r="E871" s="164"/>
      <c r="F871" s="164"/>
      <c r="G871" s="158"/>
      <c r="H871" s="158"/>
    </row>
    <row r="872" ht="15.75" customHeight="1">
      <c r="B872" s="164"/>
      <c r="C872" s="164"/>
      <c r="D872" s="164"/>
      <c r="E872" s="164"/>
      <c r="F872" s="164"/>
      <c r="G872" s="158"/>
      <c r="H872" s="158"/>
    </row>
    <row r="873" ht="15.75" customHeight="1">
      <c r="B873" s="164"/>
      <c r="C873" s="164"/>
      <c r="D873" s="164"/>
      <c r="E873" s="164"/>
      <c r="F873" s="164"/>
      <c r="G873" s="158"/>
      <c r="H873" s="158"/>
    </row>
    <row r="874" ht="15.75" customHeight="1">
      <c r="B874" s="164"/>
      <c r="C874" s="164"/>
      <c r="D874" s="164"/>
      <c r="E874" s="164"/>
      <c r="F874" s="164"/>
      <c r="G874" s="158"/>
      <c r="H874" s="158"/>
    </row>
    <row r="875" ht="15.75" customHeight="1">
      <c r="B875" s="164"/>
      <c r="C875" s="164"/>
      <c r="D875" s="164"/>
      <c r="E875" s="164"/>
      <c r="F875" s="164"/>
      <c r="G875" s="158"/>
      <c r="H875" s="158"/>
    </row>
    <row r="876" ht="15.75" customHeight="1">
      <c r="B876" s="164"/>
      <c r="C876" s="164"/>
      <c r="D876" s="164"/>
      <c r="E876" s="164"/>
      <c r="F876" s="164"/>
      <c r="G876" s="158"/>
      <c r="H876" s="158"/>
    </row>
    <row r="877" ht="15.75" customHeight="1">
      <c r="B877" s="164"/>
      <c r="C877" s="164"/>
      <c r="D877" s="164"/>
      <c r="E877" s="164"/>
      <c r="F877" s="164"/>
      <c r="G877" s="158"/>
      <c r="H877" s="158"/>
    </row>
    <row r="878" ht="15.75" customHeight="1">
      <c r="B878" s="164"/>
      <c r="C878" s="164"/>
      <c r="D878" s="164"/>
      <c r="E878" s="164"/>
      <c r="F878" s="164"/>
      <c r="G878" s="158"/>
      <c r="H878" s="158"/>
    </row>
    <row r="879" ht="15.75" customHeight="1">
      <c r="B879" s="164"/>
      <c r="C879" s="164"/>
      <c r="D879" s="164"/>
      <c r="E879" s="164"/>
      <c r="F879" s="164"/>
      <c r="G879" s="158"/>
      <c r="H879" s="158"/>
    </row>
    <row r="880" ht="15.75" customHeight="1">
      <c r="B880" s="164"/>
      <c r="C880" s="164"/>
      <c r="D880" s="164"/>
      <c r="E880" s="164"/>
      <c r="F880" s="164"/>
      <c r="G880" s="158"/>
      <c r="H880" s="158"/>
    </row>
    <row r="881" ht="15.75" customHeight="1">
      <c r="B881" s="164"/>
      <c r="C881" s="164"/>
      <c r="D881" s="164"/>
      <c r="E881" s="164"/>
      <c r="F881" s="164"/>
      <c r="G881" s="158"/>
      <c r="H881" s="158"/>
    </row>
    <row r="882" ht="15.75" customHeight="1">
      <c r="B882" s="164"/>
      <c r="C882" s="164"/>
      <c r="D882" s="164"/>
      <c r="E882" s="164"/>
      <c r="F882" s="164"/>
      <c r="G882" s="158"/>
      <c r="H882" s="158"/>
    </row>
    <row r="883" ht="15.75" customHeight="1">
      <c r="B883" s="164"/>
      <c r="C883" s="164"/>
      <c r="D883" s="164"/>
      <c r="E883" s="164"/>
      <c r="F883" s="164"/>
      <c r="G883" s="158"/>
      <c r="H883" s="158"/>
    </row>
    <row r="884" ht="15.75" customHeight="1">
      <c r="B884" s="164"/>
      <c r="C884" s="164"/>
      <c r="D884" s="164"/>
      <c r="E884" s="164"/>
      <c r="F884" s="164"/>
      <c r="G884" s="158"/>
      <c r="H884" s="158"/>
    </row>
    <row r="885" ht="15.75" customHeight="1">
      <c r="B885" s="164"/>
      <c r="C885" s="164"/>
      <c r="D885" s="164"/>
      <c r="E885" s="164"/>
      <c r="F885" s="164"/>
      <c r="G885" s="158"/>
      <c r="H885" s="158"/>
    </row>
    <row r="886" ht="15.75" customHeight="1">
      <c r="B886" s="164"/>
      <c r="C886" s="164"/>
      <c r="D886" s="164"/>
      <c r="E886" s="164"/>
      <c r="F886" s="164"/>
      <c r="G886" s="158"/>
      <c r="H886" s="158"/>
    </row>
    <row r="887" ht="15.75" customHeight="1">
      <c r="B887" s="164"/>
      <c r="C887" s="164"/>
      <c r="D887" s="164"/>
      <c r="E887" s="164"/>
      <c r="F887" s="164"/>
      <c r="G887" s="158"/>
      <c r="H887" s="158"/>
    </row>
    <row r="888" ht="15.75" customHeight="1">
      <c r="B888" s="164"/>
      <c r="C888" s="164"/>
      <c r="D888" s="164"/>
      <c r="E888" s="164"/>
      <c r="F888" s="164"/>
      <c r="G888" s="158"/>
      <c r="H888" s="158"/>
    </row>
    <row r="889" ht="15.75" customHeight="1">
      <c r="B889" s="164"/>
      <c r="C889" s="164"/>
      <c r="D889" s="164"/>
      <c r="E889" s="164"/>
      <c r="F889" s="164"/>
      <c r="G889" s="158"/>
      <c r="H889" s="158"/>
    </row>
    <row r="890" ht="15.75" customHeight="1">
      <c r="B890" s="164"/>
      <c r="C890" s="164"/>
      <c r="D890" s="164"/>
      <c r="E890" s="164"/>
      <c r="F890" s="164"/>
      <c r="G890" s="158"/>
      <c r="H890" s="158"/>
    </row>
    <row r="891" ht="15.75" customHeight="1">
      <c r="B891" s="164"/>
      <c r="C891" s="164"/>
      <c r="D891" s="164"/>
      <c r="E891" s="164"/>
      <c r="F891" s="164"/>
      <c r="G891" s="158"/>
      <c r="H891" s="158"/>
    </row>
    <row r="892" ht="15.75" customHeight="1">
      <c r="B892" s="164"/>
      <c r="C892" s="164"/>
      <c r="D892" s="164"/>
      <c r="E892" s="164"/>
      <c r="F892" s="164"/>
      <c r="G892" s="158"/>
      <c r="H892" s="158"/>
    </row>
    <row r="893" ht="15.75" customHeight="1">
      <c r="B893" s="164"/>
      <c r="C893" s="164"/>
      <c r="D893" s="164"/>
      <c r="E893" s="164"/>
      <c r="F893" s="164"/>
      <c r="G893" s="158"/>
      <c r="H893" s="158"/>
    </row>
    <row r="894" ht="15.75" customHeight="1">
      <c r="B894" s="164"/>
      <c r="C894" s="164"/>
      <c r="D894" s="164"/>
      <c r="E894" s="164"/>
      <c r="F894" s="164"/>
      <c r="G894" s="158"/>
      <c r="H894" s="158"/>
    </row>
    <row r="895" ht="15.75" customHeight="1">
      <c r="B895" s="164"/>
      <c r="C895" s="164"/>
      <c r="D895" s="164"/>
      <c r="E895" s="164"/>
      <c r="F895" s="164"/>
      <c r="G895" s="158"/>
      <c r="H895" s="158"/>
    </row>
    <row r="896" ht="15.75" customHeight="1">
      <c r="B896" s="164"/>
      <c r="C896" s="164"/>
      <c r="D896" s="164"/>
      <c r="E896" s="164"/>
      <c r="F896" s="164"/>
      <c r="G896" s="158"/>
      <c r="H896" s="158"/>
    </row>
    <row r="897" ht="15.75" customHeight="1">
      <c r="B897" s="164"/>
      <c r="C897" s="164"/>
      <c r="D897" s="164"/>
      <c r="E897" s="164"/>
      <c r="F897" s="164"/>
      <c r="G897" s="158"/>
      <c r="H897" s="158"/>
    </row>
    <row r="898" ht="15.75" customHeight="1">
      <c r="B898" s="164"/>
      <c r="C898" s="164"/>
      <c r="D898" s="164"/>
      <c r="E898" s="164"/>
      <c r="F898" s="164"/>
      <c r="G898" s="158"/>
      <c r="H898" s="158"/>
    </row>
    <row r="899" ht="15.75" customHeight="1">
      <c r="B899" s="164"/>
      <c r="C899" s="164"/>
      <c r="D899" s="164"/>
      <c r="E899" s="164"/>
      <c r="F899" s="164"/>
      <c r="G899" s="158"/>
      <c r="H899" s="158"/>
    </row>
    <row r="900" ht="15.75" customHeight="1">
      <c r="B900" s="164"/>
      <c r="C900" s="164"/>
      <c r="D900" s="164"/>
      <c r="E900" s="164"/>
      <c r="F900" s="164"/>
      <c r="G900" s="158"/>
      <c r="H900" s="158"/>
    </row>
    <row r="901" ht="15.75" customHeight="1">
      <c r="B901" s="164"/>
      <c r="C901" s="164"/>
      <c r="D901" s="164"/>
      <c r="E901" s="164"/>
      <c r="F901" s="164"/>
      <c r="G901" s="158"/>
      <c r="H901" s="158"/>
    </row>
    <row r="902" ht="15.75" customHeight="1">
      <c r="B902" s="164"/>
      <c r="C902" s="164"/>
      <c r="D902" s="164"/>
      <c r="E902" s="164"/>
      <c r="F902" s="164"/>
      <c r="G902" s="158"/>
      <c r="H902" s="158"/>
    </row>
    <row r="903" ht="15.75" customHeight="1">
      <c r="B903" s="164"/>
      <c r="C903" s="164"/>
      <c r="D903" s="164"/>
      <c r="E903" s="164"/>
      <c r="F903" s="164"/>
      <c r="G903" s="158"/>
      <c r="H903" s="158"/>
    </row>
    <row r="904" ht="15.75" customHeight="1">
      <c r="B904" s="164"/>
      <c r="C904" s="164"/>
      <c r="D904" s="164"/>
      <c r="E904" s="164"/>
      <c r="F904" s="164"/>
      <c r="G904" s="158"/>
      <c r="H904" s="158"/>
    </row>
    <row r="905" ht="15.75" customHeight="1">
      <c r="B905" s="164"/>
      <c r="C905" s="164"/>
      <c r="D905" s="164"/>
      <c r="E905" s="164"/>
      <c r="F905" s="164"/>
      <c r="G905" s="158"/>
      <c r="H905" s="158"/>
    </row>
    <row r="906" ht="15.75" customHeight="1">
      <c r="B906" s="164"/>
      <c r="C906" s="164"/>
      <c r="D906" s="164"/>
      <c r="E906" s="164"/>
      <c r="F906" s="164"/>
      <c r="G906" s="158"/>
      <c r="H906" s="158"/>
    </row>
    <row r="907" ht="15.75" customHeight="1">
      <c r="B907" s="164"/>
      <c r="C907" s="164"/>
      <c r="D907" s="164"/>
      <c r="E907" s="164"/>
      <c r="F907" s="164"/>
      <c r="G907" s="158"/>
      <c r="H907" s="158"/>
    </row>
    <row r="908" ht="15.75" customHeight="1">
      <c r="B908" s="164"/>
      <c r="C908" s="164"/>
      <c r="D908" s="164"/>
      <c r="E908" s="164"/>
      <c r="F908" s="164"/>
      <c r="G908" s="158"/>
      <c r="H908" s="158"/>
    </row>
    <row r="909" ht="15.75" customHeight="1">
      <c r="B909" s="164"/>
      <c r="C909" s="164"/>
      <c r="D909" s="164"/>
      <c r="E909" s="164"/>
      <c r="F909" s="164"/>
      <c r="G909" s="158"/>
      <c r="H909" s="158"/>
    </row>
    <row r="910" ht="15.75" customHeight="1">
      <c r="B910" s="164"/>
      <c r="C910" s="164"/>
      <c r="D910" s="164"/>
      <c r="E910" s="164"/>
      <c r="F910" s="164"/>
      <c r="G910" s="158"/>
      <c r="H910" s="158"/>
    </row>
    <row r="911" ht="15.75" customHeight="1">
      <c r="B911" s="164"/>
      <c r="C911" s="164"/>
      <c r="D911" s="164"/>
      <c r="E911" s="164"/>
      <c r="F911" s="164"/>
      <c r="G911" s="158"/>
      <c r="H911" s="158"/>
    </row>
    <row r="912" ht="15.75" customHeight="1">
      <c r="B912" s="164"/>
      <c r="C912" s="164"/>
      <c r="D912" s="164"/>
      <c r="E912" s="164"/>
      <c r="F912" s="164"/>
      <c r="G912" s="158"/>
      <c r="H912" s="158"/>
    </row>
    <row r="913" ht="15.75" customHeight="1">
      <c r="B913" s="164"/>
      <c r="C913" s="164"/>
      <c r="D913" s="164"/>
      <c r="E913" s="164"/>
      <c r="F913" s="164"/>
      <c r="G913" s="158"/>
      <c r="H913" s="158"/>
    </row>
    <row r="914" ht="15.75" customHeight="1">
      <c r="B914" s="164"/>
      <c r="C914" s="164"/>
      <c r="D914" s="164"/>
      <c r="E914" s="164"/>
      <c r="F914" s="164"/>
      <c r="G914" s="158"/>
      <c r="H914" s="158"/>
    </row>
    <row r="915" ht="15.75" customHeight="1">
      <c r="B915" s="164"/>
      <c r="C915" s="164"/>
      <c r="D915" s="164"/>
      <c r="E915" s="164"/>
      <c r="F915" s="164"/>
      <c r="G915" s="158"/>
      <c r="H915" s="158"/>
    </row>
    <row r="916" ht="15.75" customHeight="1">
      <c r="B916" s="164"/>
      <c r="C916" s="164"/>
      <c r="D916" s="164"/>
      <c r="E916" s="164"/>
      <c r="F916" s="164"/>
      <c r="G916" s="158"/>
      <c r="H916" s="158"/>
    </row>
    <row r="917" ht="15.75" customHeight="1">
      <c r="B917" s="164"/>
      <c r="C917" s="164"/>
      <c r="D917" s="164"/>
      <c r="E917" s="164"/>
      <c r="F917" s="164"/>
      <c r="G917" s="158"/>
      <c r="H917" s="158"/>
    </row>
    <row r="918" ht="15.75" customHeight="1">
      <c r="B918" s="164"/>
      <c r="C918" s="164"/>
      <c r="D918" s="164"/>
      <c r="E918" s="164"/>
      <c r="F918" s="164"/>
      <c r="G918" s="158"/>
      <c r="H918" s="158"/>
    </row>
    <row r="919" ht="15.75" customHeight="1">
      <c r="B919" s="164"/>
      <c r="C919" s="164"/>
      <c r="D919" s="164"/>
      <c r="E919" s="164"/>
      <c r="F919" s="164"/>
      <c r="G919" s="158"/>
      <c r="H919" s="158"/>
    </row>
    <row r="920" ht="15.75" customHeight="1">
      <c r="B920" s="164"/>
      <c r="C920" s="164"/>
      <c r="D920" s="164"/>
      <c r="E920" s="164"/>
      <c r="F920" s="164"/>
      <c r="G920" s="158"/>
      <c r="H920" s="158"/>
    </row>
    <row r="921" ht="15.75" customHeight="1">
      <c r="B921" s="164"/>
      <c r="C921" s="164"/>
      <c r="D921" s="164"/>
      <c r="E921" s="164"/>
      <c r="F921" s="164"/>
      <c r="G921" s="158"/>
      <c r="H921" s="158"/>
    </row>
    <row r="922" ht="15.75" customHeight="1">
      <c r="B922" s="164"/>
      <c r="C922" s="164"/>
      <c r="D922" s="164"/>
      <c r="E922" s="164"/>
      <c r="F922" s="164"/>
      <c r="G922" s="158"/>
      <c r="H922" s="158"/>
    </row>
    <row r="923" ht="15.75" customHeight="1">
      <c r="B923" s="164"/>
      <c r="C923" s="164"/>
      <c r="D923" s="164"/>
      <c r="E923" s="164"/>
      <c r="F923" s="164"/>
      <c r="G923" s="158"/>
      <c r="H923" s="158"/>
    </row>
    <row r="924" ht="15.75" customHeight="1">
      <c r="B924" s="164"/>
      <c r="C924" s="164"/>
      <c r="D924" s="164"/>
      <c r="E924" s="164"/>
      <c r="F924" s="164"/>
      <c r="G924" s="158"/>
      <c r="H924" s="158"/>
    </row>
    <row r="925" ht="15.75" customHeight="1">
      <c r="B925" s="164"/>
      <c r="C925" s="164"/>
      <c r="D925" s="164"/>
      <c r="E925" s="164"/>
      <c r="F925" s="164"/>
      <c r="G925" s="158"/>
      <c r="H925" s="158"/>
    </row>
    <row r="926" ht="15.75" customHeight="1">
      <c r="B926" s="164"/>
      <c r="C926" s="164"/>
      <c r="D926" s="164"/>
      <c r="E926" s="164"/>
      <c r="F926" s="164"/>
      <c r="G926" s="158"/>
      <c r="H926" s="158"/>
    </row>
    <row r="927" ht="15.75" customHeight="1">
      <c r="B927" s="164"/>
      <c r="C927" s="164"/>
      <c r="D927" s="164"/>
      <c r="E927" s="164"/>
      <c r="F927" s="164"/>
      <c r="G927" s="158"/>
      <c r="H927" s="158"/>
    </row>
    <row r="928" ht="15.75" customHeight="1">
      <c r="B928" s="164"/>
      <c r="C928" s="164"/>
      <c r="D928" s="164"/>
      <c r="E928" s="164"/>
      <c r="F928" s="164"/>
      <c r="G928" s="158"/>
      <c r="H928" s="158"/>
    </row>
    <row r="929" ht="15.75" customHeight="1">
      <c r="B929" s="164"/>
      <c r="C929" s="164"/>
      <c r="D929" s="164"/>
      <c r="E929" s="164"/>
      <c r="F929" s="164"/>
      <c r="G929" s="158"/>
      <c r="H929" s="158"/>
    </row>
    <row r="930" ht="15.75" customHeight="1">
      <c r="B930" s="164"/>
      <c r="C930" s="164"/>
      <c r="D930" s="164"/>
      <c r="E930" s="164"/>
      <c r="F930" s="164"/>
      <c r="G930" s="158"/>
      <c r="H930" s="158"/>
    </row>
    <row r="931" ht="15.75" customHeight="1">
      <c r="B931" s="164"/>
      <c r="C931" s="164"/>
      <c r="D931" s="164"/>
      <c r="E931" s="164"/>
      <c r="F931" s="164"/>
      <c r="G931" s="158"/>
      <c r="H931" s="158"/>
    </row>
    <row r="932" ht="15.75" customHeight="1">
      <c r="B932" s="164"/>
      <c r="C932" s="164"/>
      <c r="D932" s="164"/>
      <c r="E932" s="164"/>
      <c r="F932" s="164"/>
      <c r="G932" s="158"/>
      <c r="H932" s="158"/>
    </row>
    <row r="933" ht="15.75" customHeight="1">
      <c r="B933" s="164"/>
      <c r="C933" s="164"/>
      <c r="D933" s="164"/>
      <c r="E933" s="164"/>
      <c r="F933" s="164"/>
      <c r="G933" s="158"/>
      <c r="H933" s="158"/>
    </row>
    <row r="934" ht="15.75" customHeight="1">
      <c r="B934" s="164"/>
      <c r="C934" s="164"/>
      <c r="D934" s="164"/>
      <c r="E934" s="164"/>
      <c r="F934" s="164"/>
      <c r="G934" s="158"/>
      <c r="H934" s="158"/>
    </row>
    <row r="935" ht="15.75" customHeight="1">
      <c r="B935" s="164"/>
      <c r="C935" s="164"/>
      <c r="D935" s="164"/>
      <c r="E935" s="164"/>
      <c r="F935" s="164"/>
      <c r="G935" s="158"/>
      <c r="H935" s="158"/>
    </row>
    <row r="936" ht="15.75" customHeight="1">
      <c r="B936" s="164"/>
      <c r="C936" s="164"/>
      <c r="D936" s="164"/>
      <c r="E936" s="164"/>
      <c r="F936" s="164"/>
      <c r="G936" s="158"/>
      <c r="H936" s="158"/>
    </row>
    <row r="937" ht="15.75" customHeight="1">
      <c r="B937" s="164"/>
      <c r="C937" s="164"/>
      <c r="D937" s="164"/>
      <c r="E937" s="164"/>
      <c r="F937" s="164"/>
      <c r="G937" s="158"/>
      <c r="H937" s="158"/>
    </row>
    <row r="938" ht="15.75" customHeight="1">
      <c r="B938" s="164"/>
      <c r="C938" s="164"/>
      <c r="D938" s="164"/>
      <c r="E938" s="164"/>
      <c r="F938" s="164"/>
      <c r="G938" s="158"/>
      <c r="H938" s="158"/>
    </row>
    <row r="939" ht="15.75" customHeight="1">
      <c r="B939" s="164"/>
      <c r="C939" s="164"/>
      <c r="D939" s="164"/>
      <c r="E939" s="164"/>
      <c r="F939" s="164"/>
      <c r="G939" s="158"/>
      <c r="H939" s="158"/>
    </row>
    <row r="940" ht="15.75" customHeight="1">
      <c r="B940" s="164"/>
      <c r="C940" s="164"/>
      <c r="D940" s="164"/>
      <c r="E940" s="164"/>
      <c r="F940" s="164"/>
      <c r="G940" s="158"/>
      <c r="H940" s="158"/>
    </row>
    <row r="941" ht="15.75" customHeight="1">
      <c r="B941" s="164"/>
      <c r="C941" s="164"/>
      <c r="D941" s="164"/>
      <c r="E941" s="164"/>
      <c r="F941" s="164"/>
      <c r="G941" s="158"/>
      <c r="H941" s="158"/>
    </row>
    <row r="942" ht="15.75" customHeight="1">
      <c r="B942" s="164"/>
      <c r="C942" s="164"/>
      <c r="D942" s="164"/>
      <c r="E942" s="164"/>
      <c r="F942" s="164"/>
      <c r="G942" s="158"/>
      <c r="H942" s="158"/>
    </row>
    <row r="943" ht="15.75" customHeight="1">
      <c r="B943" s="164"/>
      <c r="C943" s="164"/>
      <c r="D943" s="164"/>
      <c r="E943" s="164"/>
      <c r="F943" s="164"/>
      <c r="G943" s="158"/>
      <c r="H943" s="158"/>
    </row>
    <row r="944" ht="15.75" customHeight="1">
      <c r="B944" s="164"/>
      <c r="C944" s="164"/>
      <c r="D944" s="164"/>
      <c r="E944" s="164"/>
      <c r="F944" s="164"/>
      <c r="G944" s="158"/>
      <c r="H944" s="158"/>
    </row>
    <row r="945" ht="15.75" customHeight="1">
      <c r="B945" s="164"/>
      <c r="C945" s="164"/>
      <c r="D945" s="164"/>
      <c r="E945" s="164"/>
      <c r="F945" s="164"/>
      <c r="G945" s="158"/>
      <c r="H945" s="158"/>
    </row>
    <row r="946" ht="15.75" customHeight="1">
      <c r="B946" s="164"/>
      <c r="C946" s="164"/>
      <c r="D946" s="164"/>
      <c r="E946" s="164"/>
      <c r="F946" s="164"/>
      <c r="G946" s="158"/>
      <c r="H946" s="158"/>
    </row>
    <row r="947" ht="15.75" customHeight="1">
      <c r="B947" s="164"/>
      <c r="C947" s="164"/>
      <c r="D947" s="164"/>
      <c r="E947" s="164"/>
      <c r="F947" s="164"/>
      <c r="G947" s="158"/>
      <c r="H947" s="158"/>
    </row>
    <row r="948" ht="15.75" customHeight="1">
      <c r="B948" s="164"/>
      <c r="C948" s="164"/>
      <c r="D948" s="164"/>
      <c r="E948" s="164"/>
      <c r="F948" s="164"/>
      <c r="G948" s="158"/>
      <c r="H948" s="158"/>
    </row>
    <row r="949" ht="15.75" customHeight="1">
      <c r="B949" s="164"/>
      <c r="C949" s="164"/>
      <c r="D949" s="164"/>
      <c r="E949" s="164"/>
      <c r="F949" s="164"/>
      <c r="G949" s="158"/>
      <c r="H949" s="158"/>
    </row>
    <row r="950" ht="15.75" customHeight="1">
      <c r="B950" s="164"/>
      <c r="C950" s="164"/>
      <c r="D950" s="164"/>
      <c r="E950" s="164"/>
      <c r="F950" s="164"/>
      <c r="G950" s="158"/>
      <c r="H950" s="158"/>
    </row>
    <row r="951" ht="15.75" customHeight="1">
      <c r="B951" s="164"/>
      <c r="C951" s="164"/>
      <c r="D951" s="164"/>
      <c r="E951" s="164"/>
      <c r="F951" s="164"/>
      <c r="G951" s="158"/>
      <c r="H951" s="158"/>
    </row>
    <row r="952" ht="15.75" customHeight="1">
      <c r="B952" s="164"/>
      <c r="C952" s="164"/>
      <c r="D952" s="164"/>
      <c r="E952" s="164"/>
      <c r="F952" s="164"/>
      <c r="G952" s="158"/>
      <c r="H952" s="158"/>
    </row>
    <row r="953" ht="15.75" customHeight="1">
      <c r="B953" s="164"/>
      <c r="C953" s="164"/>
      <c r="D953" s="164"/>
      <c r="E953" s="164"/>
      <c r="F953" s="164"/>
      <c r="G953" s="158"/>
      <c r="H953" s="158"/>
    </row>
    <row r="954" ht="15.75" customHeight="1">
      <c r="B954" s="164"/>
      <c r="C954" s="164"/>
      <c r="D954" s="164"/>
      <c r="E954" s="164"/>
      <c r="F954" s="164"/>
      <c r="G954" s="158"/>
      <c r="H954" s="158"/>
    </row>
    <row r="955" ht="15.75" customHeight="1">
      <c r="B955" s="164"/>
      <c r="C955" s="164"/>
      <c r="D955" s="164"/>
      <c r="E955" s="164"/>
      <c r="F955" s="164"/>
      <c r="G955" s="158"/>
      <c r="H955" s="158"/>
    </row>
    <row r="956" ht="15.75" customHeight="1">
      <c r="B956" s="164"/>
      <c r="C956" s="164"/>
      <c r="D956" s="164"/>
      <c r="E956" s="164"/>
      <c r="F956" s="164"/>
      <c r="G956" s="158"/>
      <c r="H956" s="158"/>
    </row>
    <row r="957" ht="15.75" customHeight="1">
      <c r="B957" s="164"/>
      <c r="C957" s="164"/>
      <c r="D957" s="164"/>
      <c r="E957" s="164"/>
      <c r="F957" s="164"/>
      <c r="G957" s="158"/>
      <c r="H957" s="158"/>
    </row>
    <row r="958" ht="15.75" customHeight="1">
      <c r="B958" s="164"/>
      <c r="C958" s="164"/>
      <c r="D958" s="164"/>
      <c r="E958" s="164"/>
      <c r="F958" s="164"/>
      <c r="G958" s="158"/>
      <c r="H958" s="158"/>
    </row>
    <row r="959" ht="15.75" customHeight="1">
      <c r="B959" s="164"/>
      <c r="C959" s="164"/>
      <c r="D959" s="164"/>
      <c r="E959" s="164"/>
      <c r="F959" s="164"/>
      <c r="G959" s="158"/>
      <c r="H959" s="158"/>
    </row>
    <row r="960" ht="15.75" customHeight="1">
      <c r="B960" s="164"/>
      <c r="C960" s="164"/>
      <c r="D960" s="164"/>
      <c r="E960" s="164"/>
      <c r="F960" s="164"/>
      <c r="G960" s="158"/>
      <c r="H960" s="158"/>
    </row>
    <row r="961" ht="15.75" customHeight="1">
      <c r="B961" s="164"/>
      <c r="C961" s="164"/>
      <c r="D961" s="164"/>
      <c r="E961" s="164"/>
      <c r="F961" s="164"/>
      <c r="G961" s="158"/>
      <c r="H961" s="158"/>
    </row>
    <row r="962" ht="15.75" customHeight="1">
      <c r="B962" s="164"/>
      <c r="C962" s="164"/>
      <c r="D962" s="164"/>
      <c r="E962" s="164"/>
      <c r="F962" s="164"/>
      <c r="G962" s="158"/>
      <c r="H962" s="158"/>
    </row>
    <row r="963" ht="15.75" customHeight="1">
      <c r="B963" s="164"/>
      <c r="C963" s="164"/>
      <c r="D963" s="164"/>
      <c r="E963" s="164"/>
      <c r="F963" s="164"/>
      <c r="G963" s="158"/>
      <c r="H963" s="158"/>
    </row>
    <row r="964" ht="15.75" customHeight="1">
      <c r="B964" s="164"/>
      <c r="C964" s="164"/>
      <c r="D964" s="164"/>
      <c r="E964" s="164"/>
      <c r="F964" s="164"/>
      <c r="G964" s="158"/>
      <c r="H964" s="158"/>
    </row>
    <row r="965" ht="15.75" customHeight="1">
      <c r="B965" s="164"/>
      <c r="C965" s="164"/>
      <c r="D965" s="164"/>
      <c r="E965" s="164"/>
      <c r="F965" s="164"/>
      <c r="G965" s="158"/>
      <c r="H965" s="158"/>
    </row>
    <row r="966" ht="15.75" customHeight="1">
      <c r="B966" s="164"/>
      <c r="C966" s="164"/>
      <c r="D966" s="164"/>
      <c r="E966" s="164"/>
      <c r="F966" s="164"/>
      <c r="G966" s="158"/>
      <c r="H966" s="158"/>
    </row>
    <row r="967" ht="15.75" customHeight="1">
      <c r="B967" s="164"/>
      <c r="C967" s="164"/>
      <c r="D967" s="164"/>
      <c r="E967" s="164"/>
      <c r="F967" s="164"/>
      <c r="G967" s="158"/>
      <c r="H967" s="158"/>
    </row>
    <row r="968" ht="15.75" customHeight="1">
      <c r="B968" s="164"/>
      <c r="C968" s="164"/>
      <c r="D968" s="164"/>
      <c r="E968" s="164"/>
      <c r="F968" s="164"/>
      <c r="G968" s="158"/>
      <c r="H968" s="158"/>
    </row>
    <row r="969" ht="15.75" customHeight="1">
      <c r="B969" s="164"/>
      <c r="C969" s="164"/>
      <c r="D969" s="164"/>
      <c r="E969" s="164"/>
      <c r="F969" s="164"/>
      <c r="G969" s="158"/>
      <c r="H969" s="158"/>
    </row>
    <row r="970" ht="15.75" customHeight="1">
      <c r="B970" s="164"/>
      <c r="C970" s="164"/>
      <c r="D970" s="164"/>
      <c r="E970" s="164"/>
      <c r="F970" s="164"/>
      <c r="G970" s="158"/>
      <c r="H970" s="158"/>
    </row>
    <row r="971" ht="15.75" customHeight="1">
      <c r="B971" s="164"/>
      <c r="C971" s="164"/>
      <c r="D971" s="164"/>
      <c r="E971" s="164"/>
      <c r="F971" s="164"/>
      <c r="G971" s="158"/>
      <c r="H971" s="158"/>
    </row>
    <row r="972" ht="15.75" customHeight="1">
      <c r="B972" s="164"/>
      <c r="C972" s="164"/>
      <c r="D972" s="164"/>
      <c r="E972" s="164"/>
      <c r="F972" s="164"/>
      <c r="G972" s="158"/>
      <c r="H972" s="158"/>
    </row>
    <row r="973" ht="15.75" customHeight="1">
      <c r="B973" s="164"/>
      <c r="C973" s="164"/>
      <c r="D973" s="164"/>
      <c r="E973" s="164"/>
      <c r="F973" s="164"/>
      <c r="G973" s="158"/>
      <c r="H973" s="158"/>
    </row>
    <row r="974" ht="15.75" customHeight="1">
      <c r="B974" s="164"/>
      <c r="C974" s="164"/>
      <c r="D974" s="164"/>
      <c r="E974" s="164"/>
      <c r="F974" s="164"/>
      <c r="G974" s="158"/>
      <c r="H974" s="158"/>
    </row>
    <row r="975" ht="15.75" customHeight="1">
      <c r="B975" s="164"/>
      <c r="C975" s="164"/>
      <c r="D975" s="164"/>
      <c r="E975" s="164"/>
      <c r="F975" s="164"/>
      <c r="G975" s="158"/>
      <c r="H975" s="158"/>
    </row>
    <row r="976" ht="15.75" customHeight="1">
      <c r="B976" s="164"/>
      <c r="C976" s="164"/>
      <c r="D976" s="164"/>
      <c r="E976" s="164"/>
      <c r="F976" s="164"/>
      <c r="G976" s="158"/>
      <c r="H976" s="158"/>
    </row>
    <row r="977" ht="15.75" customHeight="1">
      <c r="B977" s="164"/>
      <c r="C977" s="164"/>
      <c r="D977" s="164"/>
      <c r="E977" s="164"/>
      <c r="F977" s="164"/>
      <c r="G977" s="158"/>
      <c r="H977" s="158"/>
    </row>
    <row r="978" ht="15.75" customHeight="1">
      <c r="B978" s="164"/>
      <c r="C978" s="164"/>
      <c r="D978" s="164"/>
      <c r="E978" s="164"/>
      <c r="F978" s="164"/>
      <c r="G978" s="158"/>
      <c r="H978" s="158"/>
    </row>
    <row r="979" ht="15.75" customHeight="1">
      <c r="B979" s="164"/>
      <c r="C979" s="164"/>
      <c r="D979" s="164"/>
      <c r="E979" s="164"/>
      <c r="F979" s="164"/>
      <c r="G979" s="158"/>
      <c r="H979" s="158"/>
    </row>
    <row r="980" ht="15.75" customHeight="1">
      <c r="B980" s="164"/>
      <c r="C980" s="164"/>
      <c r="D980" s="164"/>
      <c r="E980" s="164"/>
      <c r="F980" s="164"/>
      <c r="G980" s="158"/>
      <c r="H980" s="158"/>
    </row>
    <row r="981" ht="15.75" customHeight="1">
      <c r="B981" s="164"/>
      <c r="C981" s="164"/>
      <c r="D981" s="164"/>
      <c r="E981" s="164"/>
      <c r="F981" s="164"/>
      <c r="G981" s="158"/>
      <c r="H981" s="158"/>
    </row>
    <row r="982" ht="15.75" customHeight="1">
      <c r="B982" s="164"/>
      <c r="C982" s="164"/>
      <c r="D982" s="164"/>
      <c r="E982" s="164"/>
      <c r="F982" s="164"/>
      <c r="G982" s="158"/>
      <c r="H982" s="158"/>
    </row>
    <row r="983" ht="15.75" customHeight="1">
      <c r="B983" s="164"/>
      <c r="C983" s="164"/>
      <c r="D983" s="164"/>
      <c r="E983" s="164"/>
      <c r="F983" s="164"/>
      <c r="G983" s="158"/>
      <c r="H983" s="158"/>
    </row>
    <row r="984" ht="15.75" customHeight="1">
      <c r="B984" s="164"/>
      <c r="C984" s="164"/>
      <c r="D984" s="164"/>
      <c r="E984" s="164"/>
      <c r="F984" s="164"/>
      <c r="G984" s="158"/>
      <c r="H984" s="158"/>
    </row>
    <row r="985" ht="15.75" customHeight="1">
      <c r="B985" s="164"/>
      <c r="C985" s="164"/>
      <c r="D985" s="164"/>
      <c r="E985" s="164"/>
      <c r="F985" s="164"/>
      <c r="G985" s="158"/>
      <c r="H985" s="158"/>
    </row>
    <row r="986" ht="15.75" customHeight="1">
      <c r="B986" s="164"/>
      <c r="C986" s="164"/>
      <c r="D986" s="164"/>
      <c r="E986" s="164"/>
      <c r="F986" s="164"/>
      <c r="G986" s="158"/>
      <c r="H986" s="158"/>
    </row>
    <row r="987" ht="15.75" customHeight="1">
      <c r="B987" s="164"/>
      <c r="C987" s="164"/>
      <c r="D987" s="164"/>
      <c r="E987" s="164"/>
      <c r="F987" s="164"/>
      <c r="G987" s="158"/>
      <c r="H987" s="158"/>
    </row>
    <row r="988" ht="15.75" customHeight="1">
      <c r="B988" s="164"/>
      <c r="C988" s="164"/>
      <c r="D988" s="164"/>
      <c r="E988" s="164"/>
      <c r="F988" s="164"/>
      <c r="G988" s="158"/>
      <c r="H988" s="158"/>
    </row>
    <row r="989" ht="15.75" customHeight="1">
      <c r="B989" s="164"/>
      <c r="C989" s="164"/>
      <c r="D989" s="164"/>
      <c r="E989" s="164"/>
      <c r="F989" s="164"/>
      <c r="G989" s="158"/>
      <c r="H989" s="158"/>
    </row>
    <row r="990" ht="15.75" customHeight="1">
      <c r="B990" s="164"/>
      <c r="C990" s="164"/>
      <c r="D990" s="164"/>
      <c r="E990" s="164"/>
      <c r="F990" s="164"/>
      <c r="G990" s="158"/>
      <c r="H990" s="158"/>
    </row>
    <row r="991" ht="15.75" customHeight="1">
      <c r="B991" s="164"/>
      <c r="C991" s="164"/>
      <c r="D991" s="164"/>
      <c r="E991" s="164"/>
      <c r="F991" s="164"/>
      <c r="G991" s="158"/>
      <c r="H991" s="158"/>
    </row>
    <row r="992" ht="15.75" customHeight="1">
      <c r="B992" s="164"/>
      <c r="C992" s="164"/>
      <c r="D992" s="164"/>
      <c r="E992" s="164"/>
      <c r="F992" s="164"/>
      <c r="G992" s="158"/>
      <c r="H992" s="158"/>
    </row>
    <row r="993" ht="15.75" customHeight="1">
      <c r="B993" s="164"/>
      <c r="C993" s="164"/>
      <c r="D993" s="164"/>
      <c r="E993" s="164"/>
      <c r="F993" s="164"/>
      <c r="G993" s="158"/>
      <c r="H993" s="158"/>
    </row>
    <row r="994" ht="15.75" customHeight="1">
      <c r="B994" s="164"/>
      <c r="C994" s="164"/>
      <c r="D994" s="164"/>
      <c r="E994" s="164"/>
      <c r="F994" s="164"/>
      <c r="G994" s="158"/>
      <c r="H994" s="158"/>
    </row>
    <row r="995" ht="15.75" customHeight="1">
      <c r="B995" s="164"/>
      <c r="C995" s="164"/>
      <c r="D995" s="164"/>
      <c r="E995" s="164"/>
      <c r="F995" s="164"/>
      <c r="G995" s="158"/>
      <c r="H995" s="158"/>
    </row>
    <row r="996" ht="15.75" customHeight="1">
      <c r="B996" s="164"/>
      <c r="C996" s="164"/>
      <c r="D996" s="164"/>
      <c r="E996" s="164"/>
      <c r="F996" s="164"/>
      <c r="G996" s="158"/>
      <c r="H996" s="158"/>
    </row>
    <row r="997" ht="15.75" customHeight="1">
      <c r="B997" s="164"/>
      <c r="C997" s="164"/>
      <c r="D997" s="164"/>
      <c r="E997" s="164"/>
      <c r="F997" s="164"/>
      <c r="G997" s="158"/>
      <c r="H997" s="158"/>
    </row>
    <row r="998" ht="15.75" customHeight="1">
      <c r="B998" s="164"/>
      <c r="C998" s="164"/>
      <c r="D998" s="164"/>
      <c r="E998" s="164"/>
      <c r="F998" s="164"/>
      <c r="G998" s="158"/>
      <c r="H998" s="158"/>
    </row>
    <row r="999" ht="15.75" customHeight="1">
      <c r="B999" s="164"/>
      <c r="C999" s="164"/>
      <c r="D999" s="164"/>
      <c r="E999" s="164"/>
      <c r="F999" s="164"/>
      <c r="G999" s="158"/>
      <c r="H999" s="158"/>
    </row>
    <row r="1000" ht="15.75" customHeight="1">
      <c r="B1000" s="164"/>
      <c r="C1000" s="164"/>
      <c r="D1000" s="164"/>
      <c r="E1000" s="164"/>
      <c r="F1000" s="164"/>
      <c r="G1000" s="158"/>
      <c r="H1000" s="158"/>
    </row>
    <row r="1001" ht="15.75" customHeight="1">
      <c r="B1001" s="164"/>
      <c r="C1001" s="164"/>
      <c r="D1001" s="164"/>
      <c r="E1001" s="164"/>
      <c r="F1001" s="164"/>
      <c r="G1001" s="158"/>
      <c r="H1001" s="158"/>
    </row>
    <row r="1002" ht="15.75" customHeight="1">
      <c r="B1002" s="164"/>
      <c r="C1002" s="164"/>
      <c r="D1002" s="164"/>
      <c r="E1002" s="164"/>
      <c r="F1002" s="164"/>
      <c r="G1002" s="158"/>
      <c r="H1002" s="158"/>
    </row>
    <row r="1003" ht="15.75" customHeight="1">
      <c r="B1003" s="164"/>
      <c r="C1003" s="164"/>
      <c r="D1003" s="164"/>
      <c r="E1003" s="164"/>
      <c r="F1003" s="164"/>
      <c r="G1003" s="158"/>
      <c r="H1003" s="158"/>
    </row>
    <row r="1004" ht="15.75" customHeight="1">
      <c r="B1004" s="164"/>
      <c r="C1004" s="164"/>
      <c r="D1004" s="164"/>
      <c r="E1004" s="164"/>
      <c r="F1004" s="164"/>
      <c r="G1004" s="158"/>
      <c r="H1004" s="158"/>
    </row>
    <row r="1005" ht="15.75" customHeight="1">
      <c r="B1005" s="164"/>
      <c r="C1005" s="164"/>
      <c r="D1005" s="164"/>
      <c r="E1005" s="164"/>
      <c r="F1005" s="164"/>
      <c r="G1005" s="158"/>
      <c r="H1005" s="158"/>
    </row>
    <row r="1006" ht="15.75" customHeight="1">
      <c r="B1006" s="164"/>
      <c r="C1006" s="164"/>
      <c r="D1006" s="164"/>
      <c r="E1006" s="164"/>
      <c r="F1006" s="164"/>
      <c r="G1006" s="158"/>
      <c r="H1006" s="158"/>
    </row>
    <row r="1007" ht="15.75" customHeight="1">
      <c r="B1007" s="164"/>
      <c r="C1007" s="164"/>
      <c r="D1007" s="164"/>
      <c r="E1007" s="164"/>
      <c r="F1007" s="164"/>
      <c r="G1007" s="158"/>
      <c r="H1007" s="158"/>
    </row>
    <row r="1008" ht="15.75" customHeight="1">
      <c r="B1008" s="164"/>
      <c r="C1008" s="164"/>
      <c r="D1008" s="164"/>
      <c r="E1008" s="164"/>
      <c r="F1008" s="164"/>
      <c r="G1008" s="158"/>
      <c r="H1008" s="158"/>
    </row>
    <row r="1009" ht="15.75" customHeight="1">
      <c r="B1009" s="164"/>
      <c r="C1009" s="164"/>
      <c r="D1009" s="164"/>
      <c r="E1009" s="164"/>
      <c r="F1009" s="164"/>
      <c r="G1009" s="158"/>
      <c r="H1009" s="158"/>
    </row>
    <row r="1010" ht="15.75" customHeight="1">
      <c r="B1010" s="164"/>
      <c r="C1010" s="164"/>
      <c r="D1010" s="164"/>
      <c r="E1010" s="164"/>
      <c r="F1010" s="164"/>
      <c r="G1010" s="158"/>
      <c r="H1010" s="158"/>
    </row>
    <row r="1011" ht="15.75" customHeight="1">
      <c r="B1011" s="164"/>
      <c r="C1011" s="164"/>
      <c r="D1011" s="164"/>
      <c r="E1011" s="164"/>
      <c r="F1011" s="164"/>
      <c r="G1011" s="158"/>
      <c r="H1011" s="158"/>
    </row>
    <row r="1012" ht="15.75" customHeight="1">
      <c r="B1012" s="164"/>
      <c r="C1012" s="164"/>
      <c r="D1012" s="164"/>
      <c r="E1012" s="164"/>
      <c r="F1012" s="164"/>
      <c r="G1012" s="158"/>
      <c r="H1012" s="158"/>
    </row>
    <row r="1013" ht="15.75" customHeight="1">
      <c r="B1013" s="164"/>
      <c r="C1013" s="164"/>
      <c r="D1013" s="164"/>
      <c r="E1013" s="164"/>
      <c r="F1013" s="164"/>
      <c r="G1013" s="158"/>
      <c r="H1013" s="158"/>
    </row>
    <row r="1014" ht="15.75" customHeight="1">
      <c r="B1014" s="164"/>
      <c r="C1014" s="164"/>
      <c r="D1014" s="164"/>
      <c r="E1014" s="164"/>
      <c r="F1014" s="164"/>
      <c r="G1014" s="158"/>
      <c r="H1014" s="158"/>
    </row>
    <row r="1015" ht="15.75" customHeight="1">
      <c r="B1015" s="164"/>
      <c r="C1015" s="164"/>
      <c r="D1015" s="164"/>
      <c r="E1015" s="164"/>
      <c r="F1015" s="164"/>
      <c r="G1015" s="158"/>
      <c r="H1015" s="158"/>
    </row>
    <row r="1016" ht="15.75" customHeight="1">
      <c r="B1016" s="164"/>
      <c r="C1016" s="164"/>
      <c r="D1016" s="164"/>
      <c r="E1016" s="164"/>
      <c r="F1016" s="164"/>
      <c r="G1016" s="158"/>
      <c r="H1016" s="158"/>
    </row>
    <row r="1017" ht="15.75" customHeight="1">
      <c r="B1017" s="164"/>
      <c r="C1017" s="164"/>
      <c r="D1017" s="164"/>
      <c r="E1017" s="164"/>
      <c r="F1017" s="164"/>
      <c r="G1017" s="158"/>
      <c r="H1017" s="158"/>
    </row>
    <row r="1018" ht="15.75" customHeight="1">
      <c r="B1018" s="164"/>
      <c r="C1018" s="164"/>
      <c r="D1018" s="164"/>
      <c r="E1018" s="164"/>
      <c r="F1018" s="164"/>
      <c r="G1018" s="158"/>
      <c r="H1018" s="158"/>
    </row>
    <row r="1019" ht="15.75" customHeight="1">
      <c r="B1019" s="164"/>
      <c r="C1019" s="164"/>
      <c r="D1019" s="164"/>
      <c r="E1019" s="164"/>
      <c r="F1019" s="164"/>
      <c r="G1019" s="158"/>
      <c r="H1019" s="158"/>
    </row>
    <row r="1020" ht="15.75" customHeight="1">
      <c r="B1020" s="164"/>
      <c r="C1020" s="164"/>
      <c r="D1020" s="164"/>
      <c r="E1020" s="164"/>
      <c r="F1020" s="164"/>
      <c r="G1020" s="158"/>
      <c r="H1020" s="158"/>
    </row>
    <row r="1021" ht="15.75" customHeight="1">
      <c r="B1021" s="164"/>
      <c r="C1021" s="164"/>
      <c r="D1021" s="164"/>
      <c r="E1021" s="164"/>
      <c r="F1021" s="164"/>
      <c r="G1021" s="158"/>
      <c r="H1021" s="158"/>
    </row>
    <row r="1022" ht="15.75" customHeight="1">
      <c r="B1022" s="164"/>
      <c r="C1022" s="164"/>
      <c r="D1022" s="164"/>
      <c r="E1022" s="164"/>
      <c r="F1022" s="164"/>
      <c r="G1022" s="158"/>
      <c r="H1022" s="158"/>
    </row>
    <row r="1023" ht="15.75" customHeight="1">
      <c r="B1023" s="164"/>
      <c r="C1023" s="164"/>
      <c r="D1023" s="164"/>
      <c r="E1023" s="164"/>
      <c r="F1023" s="164"/>
      <c r="G1023" s="158"/>
      <c r="H1023" s="158"/>
    </row>
    <row r="1024" ht="15.75" customHeight="1">
      <c r="B1024" s="164"/>
      <c r="C1024" s="164"/>
      <c r="D1024" s="164"/>
      <c r="E1024" s="164"/>
      <c r="F1024" s="164"/>
      <c r="G1024" s="158"/>
      <c r="H1024" s="158"/>
    </row>
    <row r="1025" ht="15.75" customHeight="1">
      <c r="B1025" s="164"/>
      <c r="C1025" s="164"/>
      <c r="D1025" s="164"/>
      <c r="E1025" s="164"/>
      <c r="F1025" s="164"/>
      <c r="G1025" s="158"/>
      <c r="H1025" s="158"/>
    </row>
    <row r="1026" ht="15.75" customHeight="1">
      <c r="B1026" s="164"/>
      <c r="C1026" s="164"/>
      <c r="D1026" s="164"/>
      <c r="E1026" s="164"/>
      <c r="F1026" s="164"/>
      <c r="G1026" s="158"/>
      <c r="H1026" s="158"/>
    </row>
    <row r="1027" ht="15.75" customHeight="1">
      <c r="B1027" s="164"/>
      <c r="C1027" s="164"/>
      <c r="D1027" s="164"/>
      <c r="E1027" s="164"/>
      <c r="F1027" s="164"/>
      <c r="G1027" s="158"/>
      <c r="H1027" s="158"/>
    </row>
    <row r="1028" ht="15.75" customHeight="1">
      <c r="B1028" s="164"/>
      <c r="C1028" s="164"/>
      <c r="D1028" s="164"/>
      <c r="E1028" s="164"/>
      <c r="F1028" s="164"/>
      <c r="G1028" s="158"/>
      <c r="H1028" s="158"/>
    </row>
    <row r="1029" ht="15.75" customHeight="1">
      <c r="B1029" s="164"/>
      <c r="C1029" s="164"/>
      <c r="D1029" s="164"/>
      <c r="E1029" s="164"/>
      <c r="F1029" s="164"/>
      <c r="G1029" s="158"/>
      <c r="H1029" s="158"/>
    </row>
    <row r="1030" ht="15.75" customHeight="1">
      <c r="B1030" s="164"/>
      <c r="C1030" s="164"/>
      <c r="D1030" s="164"/>
      <c r="E1030" s="164"/>
      <c r="F1030" s="164"/>
      <c r="G1030" s="158"/>
      <c r="H1030" s="158"/>
    </row>
    <row r="1031" ht="15.75" customHeight="1">
      <c r="B1031" s="164"/>
      <c r="C1031" s="164"/>
      <c r="D1031" s="164"/>
      <c r="E1031" s="164"/>
      <c r="F1031" s="164"/>
      <c r="G1031" s="158"/>
      <c r="H1031" s="158"/>
    </row>
    <row r="1032" ht="15.75" customHeight="1">
      <c r="B1032" s="164"/>
      <c r="C1032" s="164"/>
      <c r="D1032" s="164"/>
      <c r="E1032" s="164"/>
      <c r="F1032" s="164"/>
      <c r="G1032" s="158"/>
      <c r="H1032" s="158"/>
    </row>
    <row r="1033" ht="15.75" customHeight="1">
      <c r="B1033" s="164"/>
      <c r="C1033" s="164"/>
      <c r="D1033" s="164"/>
      <c r="E1033" s="164"/>
      <c r="F1033" s="164"/>
      <c r="G1033" s="158"/>
      <c r="H1033" s="158"/>
    </row>
    <row r="1034" ht="15.75" customHeight="1">
      <c r="B1034" s="164"/>
      <c r="C1034" s="164"/>
      <c r="D1034" s="164"/>
      <c r="E1034" s="164"/>
      <c r="F1034" s="164"/>
      <c r="G1034" s="158"/>
      <c r="H1034" s="158"/>
    </row>
    <row r="1035" ht="15.75" customHeight="1">
      <c r="B1035" s="164"/>
      <c r="C1035" s="164"/>
      <c r="D1035" s="164"/>
      <c r="E1035" s="164"/>
      <c r="F1035" s="164"/>
      <c r="G1035" s="158"/>
      <c r="H1035" s="158"/>
    </row>
    <row r="1036" ht="15.75" customHeight="1">
      <c r="B1036" s="164"/>
      <c r="C1036" s="164"/>
      <c r="D1036" s="164"/>
      <c r="E1036" s="164"/>
      <c r="F1036" s="164"/>
      <c r="G1036" s="158"/>
      <c r="H1036" s="158"/>
    </row>
    <row r="1037" ht="15.75" customHeight="1">
      <c r="B1037" s="164"/>
      <c r="C1037" s="164"/>
      <c r="D1037" s="164"/>
      <c r="E1037" s="164"/>
      <c r="F1037" s="164"/>
      <c r="G1037" s="158"/>
      <c r="H1037" s="158"/>
    </row>
  </sheetData>
  <mergeCells count="1">
    <mergeCell ref="B1:H4"/>
  </mergeCells>
  <conditionalFormatting sqref="F7:F51">
    <cfRule type="containsText" dxfId="0" priority="1" operator="containsText" text="PENDIENTE">
      <formula>NOT(ISERROR(SEARCH(("PENDIENTE"),(F7))))</formula>
    </cfRule>
  </conditionalFormatting>
  <conditionalFormatting sqref="F7:F51">
    <cfRule type="cellIs" dxfId="2" priority="2" operator="equal">
      <formula>"CANCELADO"</formula>
    </cfRule>
  </conditionalFormatting>
  <conditionalFormatting sqref="F7:F51">
    <cfRule type="cellIs" dxfId="3" priority="3" operator="equal">
      <formula>"PENDIENTE"</formula>
    </cfRule>
  </conditionalFormatting>
  <conditionalFormatting sqref="F7:F74">
    <cfRule type="containsText" dxfId="1" priority="4" operator="containsText" text="CANCELADO">
      <formula>NOT(ISERROR(SEARCH(("CANCELADO"),(F7))))</formula>
    </cfRule>
  </conditionalFormatting>
  <printOptions/>
  <pageMargins bottom="0.75" footer="0.0" header="0.0" left="0.7" right="0.7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5.86"/>
    <col customWidth="1" hidden="1" min="2" max="2" width="12.71"/>
    <col customWidth="1" min="3" max="3" width="25.14"/>
    <col customWidth="1" min="4" max="4" width="17.14"/>
    <col customWidth="1" min="5" max="5" width="15.43"/>
    <col customWidth="1" min="6" max="7" width="13.86"/>
    <col customWidth="1" min="8" max="8" width="46.0"/>
    <col customWidth="1" min="9" max="9" width="17.14"/>
    <col customWidth="1" min="10" max="10" width="36.0"/>
    <col customWidth="1" min="11" max="18" width="10.71"/>
  </cols>
  <sheetData>
    <row r="1" ht="15.0" customHeight="1">
      <c r="A1" s="4"/>
      <c r="B1" s="5"/>
      <c r="C1" s="6"/>
      <c r="D1" s="11" t="s">
        <v>3</v>
      </c>
      <c r="E1" s="5"/>
      <c r="F1" s="5"/>
      <c r="G1" s="5"/>
      <c r="H1" s="6"/>
      <c r="I1" s="7"/>
    </row>
    <row r="2" ht="15.0" customHeight="1">
      <c r="A2" s="9"/>
      <c r="C2" s="13"/>
      <c r="D2" s="9"/>
      <c r="H2" s="13"/>
      <c r="I2" s="7"/>
    </row>
    <row r="3" ht="15.0" customHeight="1">
      <c r="A3" s="9"/>
      <c r="C3" s="13"/>
      <c r="D3" s="9"/>
      <c r="H3" s="13"/>
      <c r="I3" s="7"/>
      <c r="K3" s="18"/>
      <c r="L3" s="18"/>
    </row>
    <row r="4" ht="15.0" customHeight="1">
      <c r="A4" s="9"/>
      <c r="C4" s="13"/>
      <c r="D4" s="9"/>
      <c r="H4" s="13"/>
      <c r="I4" s="7"/>
      <c r="K4" s="20"/>
      <c r="L4" s="20"/>
      <c r="M4" s="20"/>
      <c r="N4" s="20"/>
      <c r="O4" s="20"/>
    </row>
    <row r="5" ht="15.0" customHeight="1">
      <c r="A5" s="15"/>
      <c r="B5" s="17"/>
      <c r="C5" s="19"/>
      <c r="D5" s="15"/>
      <c r="E5" s="17"/>
      <c r="F5" s="17"/>
      <c r="G5" s="17"/>
      <c r="H5" s="19"/>
      <c r="I5" s="7"/>
    </row>
    <row r="6">
      <c r="A6" s="26" t="s">
        <v>12</v>
      </c>
      <c r="B6" s="29" t="s">
        <v>4</v>
      </c>
      <c r="C6" s="26" t="s">
        <v>18</v>
      </c>
      <c r="D6" s="26" t="s">
        <v>20</v>
      </c>
      <c r="E6" s="33" t="s">
        <v>22</v>
      </c>
      <c r="F6" s="36" t="s">
        <v>23</v>
      </c>
      <c r="G6" s="36" t="s">
        <v>21</v>
      </c>
      <c r="H6" s="39" t="s">
        <v>24</v>
      </c>
      <c r="I6" s="7"/>
    </row>
    <row r="7" ht="15.0" customHeight="1">
      <c r="A7" s="43"/>
      <c r="B7" s="45"/>
      <c r="C7" s="43"/>
      <c r="D7" s="43"/>
      <c r="E7" s="46"/>
      <c r="F7" s="43"/>
      <c r="G7" s="43"/>
      <c r="H7" s="48"/>
      <c r="I7" s="7"/>
    </row>
    <row r="8" ht="17.25" customHeight="1">
      <c r="A8" s="51">
        <v>44965.0</v>
      </c>
      <c r="B8" s="53"/>
      <c r="C8" s="67" t="s">
        <v>36</v>
      </c>
      <c r="D8" s="67" t="s">
        <v>37</v>
      </c>
      <c r="E8" s="71">
        <v>408.0</v>
      </c>
      <c r="F8" s="74">
        <v>45719.0</v>
      </c>
      <c r="G8" s="63" t="s">
        <v>33</v>
      </c>
      <c r="H8" s="79"/>
      <c r="I8" s="68"/>
      <c r="J8" s="70"/>
      <c r="K8" s="70"/>
      <c r="L8" s="70"/>
      <c r="M8" s="70"/>
      <c r="N8" s="70"/>
      <c r="O8" s="70"/>
      <c r="P8" s="70"/>
      <c r="Q8" s="70"/>
      <c r="R8" s="70"/>
      <c r="S8" s="75"/>
      <c r="T8" s="75"/>
      <c r="U8" s="75"/>
      <c r="V8" s="75"/>
      <c r="W8" s="75"/>
      <c r="X8" s="75"/>
      <c r="Y8" s="75"/>
      <c r="Z8" s="75"/>
    </row>
    <row r="9" ht="17.25" customHeight="1">
      <c r="A9" s="87">
        <v>45686.0</v>
      </c>
      <c r="B9" s="53"/>
      <c r="C9" s="63" t="s">
        <v>36</v>
      </c>
      <c r="D9" s="53" t="s">
        <v>40</v>
      </c>
      <c r="E9" s="57">
        <v>712.6</v>
      </c>
      <c r="F9" s="93">
        <v>45686.0</v>
      </c>
      <c r="G9" s="53" t="s">
        <v>33</v>
      </c>
      <c r="H9" s="96"/>
      <c r="I9" s="68"/>
      <c r="J9" s="70"/>
      <c r="K9" s="70"/>
      <c r="L9" s="70"/>
      <c r="M9" s="70"/>
      <c r="N9" s="70"/>
      <c r="O9" s="70"/>
      <c r="P9" s="70"/>
      <c r="Q9" s="70"/>
      <c r="R9" s="70"/>
      <c r="S9" s="75"/>
      <c r="T9" s="75"/>
      <c r="U9" s="75"/>
      <c r="V9" s="75"/>
      <c r="W9" s="75"/>
      <c r="X9" s="75"/>
      <c r="Y9" s="75"/>
      <c r="Z9" s="75"/>
    </row>
    <row r="10" ht="17.25" customHeight="1">
      <c r="A10" s="87">
        <v>45716.0</v>
      </c>
      <c r="B10" s="53"/>
      <c r="C10" s="63" t="s">
        <v>36</v>
      </c>
      <c r="D10" s="53" t="s">
        <v>40</v>
      </c>
      <c r="E10" s="57">
        <v>712.6</v>
      </c>
      <c r="F10" s="93">
        <v>45716.0</v>
      </c>
      <c r="G10" s="53" t="s">
        <v>33</v>
      </c>
      <c r="H10" s="96"/>
      <c r="N10" s="70"/>
      <c r="O10" s="70"/>
      <c r="P10" s="70"/>
      <c r="Q10" s="70"/>
      <c r="R10" s="70"/>
      <c r="S10" s="75"/>
      <c r="T10" s="75"/>
      <c r="U10" s="75"/>
      <c r="V10" s="75"/>
      <c r="W10" s="75"/>
      <c r="X10" s="75"/>
      <c r="Y10" s="75"/>
      <c r="Z10" s="75"/>
    </row>
    <row r="11" ht="17.25" customHeight="1">
      <c r="A11" s="87">
        <v>45716.0</v>
      </c>
      <c r="B11" s="53"/>
      <c r="C11" s="63" t="s">
        <v>36</v>
      </c>
      <c r="D11" s="53" t="s">
        <v>46</v>
      </c>
      <c r="E11" s="71">
        <v>133.75</v>
      </c>
      <c r="F11" s="74">
        <v>45719.0</v>
      </c>
      <c r="G11" s="63" t="s">
        <v>33</v>
      </c>
      <c r="H11" s="96"/>
      <c r="I11" s="68"/>
      <c r="J11" s="70"/>
      <c r="K11" s="70"/>
      <c r="L11" s="70"/>
      <c r="M11" s="70"/>
      <c r="N11" s="70"/>
      <c r="O11" s="70"/>
      <c r="P11" s="70"/>
      <c r="Q11" s="70"/>
      <c r="R11" s="70"/>
      <c r="S11" s="75"/>
      <c r="T11" s="75"/>
      <c r="U11" s="75"/>
      <c r="V11" s="75"/>
      <c r="W11" s="75"/>
      <c r="X11" s="75"/>
      <c r="Y11" s="75"/>
      <c r="Z11" s="75"/>
    </row>
    <row r="12" ht="17.25" customHeight="1">
      <c r="A12" s="61">
        <v>45747.0</v>
      </c>
      <c r="B12" s="53"/>
      <c r="C12" s="63" t="s">
        <v>36</v>
      </c>
      <c r="D12" s="53" t="s">
        <v>40</v>
      </c>
      <c r="E12" s="57">
        <v>712.6</v>
      </c>
      <c r="F12" s="74">
        <v>45747.0</v>
      </c>
      <c r="G12" s="63" t="s">
        <v>33</v>
      </c>
      <c r="H12" s="96"/>
      <c r="I12" s="108"/>
      <c r="J12" s="109"/>
      <c r="K12" s="109"/>
      <c r="L12" s="70"/>
      <c r="M12" s="70"/>
      <c r="N12" s="70"/>
      <c r="O12" s="70"/>
      <c r="P12" s="70"/>
      <c r="Q12" s="70"/>
      <c r="R12" s="70"/>
      <c r="S12" s="75"/>
      <c r="T12" s="75"/>
      <c r="U12" s="75"/>
      <c r="V12" s="75"/>
      <c r="W12" s="75"/>
      <c r="X12" s="75"/>
      <c r="Y12" s="75"/>
      <c r="Z12" s="75"/>
    </row>
    <row r="13" ht="17.25" customHeight="1">
      <c r="A13" s="61">
        <v>45777.0</v>
      </c>
      <c r="B13" s="53"/>
      <c r="C13" s="63" t="s">
        <v>36</v>
      </c>
      <c r="D13" s="53" t="s">
        <v>40</v>
      </c>
      <c r="E13" s="57">
        <v>712.6</v>
      </c>
      <c r="F13" s="74">
        <v>45777.0</v>
      </c>
      <c r="G13" s="63" t="s">
        <v>33</v>
      </c>
      <c r="H13" s="96"/>
      <c r="I13" s="108"/>
      <c r="J13" s="109"/>
      <c r="K13" s="109"/>
      <c r="L13" s="70"/>
      <c r="M13" s="70"/>
      <c r="N13" s="70"/>
      <c r="O13" s="70"/>
      <c r="P13" s="70"/>
      <c r="Q13" s="70"/>
      <c r="R13" s="70"/>
      <c r="S13" s="75"/>
      <c r="T13" s="75"/>
      <c r="U13" s="75"/>
      <c r="V13" s="75"/>
      <c r="W13" s="75"/>
      <c r="X13" s="75"/>
      <c r="Y13" s="75"/>
      <c r="Z13" s="75"/>
    </row>
    <row r="14" ht="17.25" customHeight="1">
      <c r="A14" s="61">
        <v>45807.0</v>
      </c>
      <c r="B14" s="53"/>
      <c r="C14" s="63" t="s">
        <v>36</v>
      </c>
      <c r="D14" s="53" t="s">
        <v>40</v>
      </c>
      <c r="E14" s="71">
        <v>912.55</v>
      </c>
      <c r="F14" s="74">
        <v>45807.0</v>
      </c>
      <c r="G14" s="63" t="s">
        <v>33</v>
      </c>
      <c r="H14" s="96" t="s">
        <v>56</v>
      </c>
      <c r="I14" s="108" t="s">
        <v>57</v>
      </c>
      <c r="J14" s="109" t="s">
        <v>58</v>
      </c>
      <c r="K14" s="109">
        <v>9.61849138E8</v>
      </c>
      <c r="L14" s="70"/>
      <c r="M14" s="70"/>
      <c r="N14" s="70"/>
      <c r="O14" s="70"/>
      <c r="P14" s="70"/>
      <c r="Q14" s="70"/>
      <c r="R14" s="70"/>
      <c r="S14" s="75"/>
      <c r="T14" s="75"/>
      <c r="U14" s="75"/>
      <c r="V14" s="75"/>
      <c r="W14" s="75"/>
      <c r="X14" s="75"/>
      <c r="Y14" s="75"/>
      <c r="Z14" s="75"/>
    </row>
    <row r="15" ht="17.25" customHeight="1">
      <c r="A15" s="117"/>
      <c r="B15" s="53"/>
      <c r="C15" s="53"/>
      <c r="D15" s="118"/>
      <c r="E15" s="57"/>
      <c r="F15" s="93"/>
      <c r="G15" s="53"/>
      <c r="H15" s="96"/>
      <c r="I15" s="68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17.25" customHeight="1">
      <c r="A16" s="121"/>
      <c r="B16" s="122"/>
      <c r="C16" s="122"/>
      <c r="D16" s="122"/>
      <c r="E16" s="123"/>
      <c r="F16" s="121"/>
      <c r="G16" s="122"/>
      <c r="H16" s="124"/>
      <c r="I16" s="68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15.75" customHeight="1">
      <c r="A17" s="101"/>
      <c r="B17" s="101"/>
      <c r="C17" s="101"/>
      <c r="D17" s="101"/>
      <c r="E17" s="125"/>
      <c r="F17" s="101"/>
      <c r="G17" s="101"/>
      <c r="H17" s="101"/>
      <c r="I17" s="68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ht="15.75" customHeight="1">
      <c r="A18" s="101"/>
      <c r="B18" s="101"/>
      <c r="C18" s="101"/>
      <c r="D18" s="101"/>
      <c r="E18" s="125"/>
      <c r="F18" s="101"/>
      <c r="G18" s="101"/>
      <c r="H18" s="101"/>
      <c r="I18" s="68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15.75" customHeight="1">
      <c r="A19" s="101"/>
      <c r="B19" s="101"/>
      <c r="C19" s="101"/>
      <c r="D19" s="101"/>
      <c r="E19" s="125"/>
      <c r="F19" s="101"/>
      <c r="G19" s="101"/>
      <c r="H19" s="101"/>
      <c r="I19" s="68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15.75" customHeight="1">
      <c r="A20" s="101"/>
      <c r="B20" s="101"/>
      <c r="C20" s="101"/>
      <c r="D20" s="101"/>
      <c r="E20" s="125"/>
      <c r="F20" s="101"/>
      <c r="G20" s="101"/>
      <c r="H20" s="101"/>
      <c r="I20" s="68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5.75" customHeight="1">
      <c r="A21" s="101"/>
      <c r="B21" s="101"/>
      <c r="C21" s="101"/>
      <c r="D21" s="101"/>
      <c r="E21" s="125"/>
      <c r="F21" s="101"/>
      <c r="G21" s="101"/>
      <c r="H21" s="101"/>
      <c r="I21" s="68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5.75" customHeight="1">
      <c r="A22" s="101"/>
      <c r="B22" s="101"/>
      <c r="C22" s="101"/>
      <c r="D22" s="101"/>
      <c r="E22" s="125"/>
      <c r="F22" s="101"/>
      <c r="G22" s="101"/>
      <c r="H22" s="101"/>
      <c r="I22" s="68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5.75" customHeight="1">
      <c r="A23" s="101"/>
      <c r="B23" s="101"/>
      <c r="C23" s="101"/>
      <c r="D23" s="101"/>
      <c r="E23" s="125"/>
      <c r="F23" s="101"/>
      <c r="G23" s="101"/>
      <c r="H23" s="101"/>
      <c r="I23" s="68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5.75" customHeight="1">
      <c r="A24" s="101"/>
      <c r="B24" s="101"/>
      <c r="C24" s="101"/>
      <c r="D24" s="101"/>
      <c r="E24" s="125"/>
      <c r="F24" s="101"/>
      <c r="G24" s="101"/>
      <c r="H24" s="101"/>
      <c r="I24" s="68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5.75" customHeight="1">
      <c r="A25" s="101"/>
      <c r="B25" s="101"/>
      <c r="C25" s="101"/>
      <c r="D25" s="101"/>
      <c r="E25" s="125"/>
      <c r="F25" s="101"/>
      <c r="G25" s="101"/>
      <c r="H25" s="101"/>
      <c r="I25" s="68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5.75" customHeight="1">
      <c r="A26" s="10"/>
      <c r="B26" s="10"/>
      <c r="C26" s="10"/>
      <c r="D26" s="10"/>
      <c r="E26" s="133"/>
      <c r="F26" s="10"/>
      <c r="G26" s="10"/>
      <c r="H26" s="10"/>
      <c r="I26" s="7"/>
    </row>
    <row r="27" ht="15.75" customHeight="1">
      <c r="A27" s="10"/>
      <c r="B27" s="10"/>
      <c r="C27" s="10"/>
      <c r="D27" s="10"/>
      <c r="E27" s="133"/>
      <c r="F27" s="10"/>
      <c r="G27" s="10"/>
      <c r="H27" s="10"/>
      <c r="I27" s="7"/>
    </row>
    <row r="28" ht="15.75" customHeight="1">
      <c r="A28" s="10"/>
      <c r="B28" s="10"/>
      <c r="C28" s="10"/>
      <c r="D28" s="10"/>
      <c r="E28" s="133"/>
      <c r="F28" s="10"/>
      <c r="G28" s="10"/>
      <c r="H28" s="10"/>
      <c r="I28" s="7"/>
    </row>
    <row r="29" ht="15.75" customHeight="1">
      <c r="A29" s="10"/>
      <c r="B29" s="10"/>
      <c r="C29" s="10"/>
      <c r="D29" s="10"/>
      <c r="E29" s="133"/>
      <c r="F29" s="10"/>
      <c r="G29" s="10"/>
      <c r="H29" s="10"/>
      <c r="I29" s="7"/>
    </row>
    <row r="30" ht="15.75" customHeight="1">
      <c r="A30" s="10"/>
      <c r="B30" s="10"/>
      <c r="C30" s="10"/>
      <c r="D30" s="10"/>
      <c r="E30" s="133"/>
      <c r="F30" s="10"/>
      <c r="G30" s="10"/>
      <c r="H30" s="10"/>
      <c r="I30" s="7"/>
    </row>
    <row r="31" ht="15.75" customHeight="1">
      <c r="A31" s="10"/>
      <c r="B31" s="10"/>
      <c r="C31" s="10"/>
      <c r="D31" s="10"/>
      <c r="E31" s="133"/>
      <c r="F31" s="10"/>
      <c r="G31" s="10"/>
      <c r="H31" s="10"/>
      <c r="I31" s="7"/>
    </row>
    <row r="32" ht="15.75" customHeight="1">
      <c r="A32" s="10"/>
      <c r="B32" s="10"/>
      <c r="C32" s="10"/>
      <c r="D32" s="10"/>
      <c r="E32" s="133"/>
      <c r="F32" s="10"/>
      <c r="G32" s="10"/>
      <c r="H32" s="10"/>
      <c r="I32" s="7"/>
    </row>
    <row r="33" ht="15.75" customHeight="1">
      <c r="A33" s="10"/>
      <c r="B33" s="10"/>
      <c r="C33" s="10"/>
      <c r="D33" s="10"/>
      <c r="E33" s="133"/>
      <c r="F33" s="10"/>
      <c r="G33" s="10"/>
      <c r="H33" s="10"/>
      <c r="I33" s="7"/>
    </row>
    <row r="34" ht="15.75" customHeight="1">
      <c r="A34" s="10"/>
      <c r="B34" s="10"/>
      <c r="C34" s="10"/>
      <c r="D34" s="10"/>
      <c r="E34" s="133"/>
      <c r="F34" s="10"/>
      <c r="G34" s="10"/>
      <c r="H34" s="10"/>
      <c r="I34" s="7"/>
    </row>
    <row r="35" ht="15.75" customHeight="1">
      <c r="A35" s="10"/>
      <c r="B35" s="10"/>
      <c r="C35" s="10"/>
      <c r="D35" s="10"/>
      <c r="E35" s="133"/>
      <c r="F35" s="10"/>
      <c r="G35" s="10"/>
      <c r="H35" s="10"/>
      <c r="I35" s="7"/>
    </row>
    <row r="36" ht="15.75" customHeight="1">
      <c r="A36" s="10"/>
      <c r="B36" s="10"/>
      <c r="C36" s="10"/>
      <c r="D36" s="10"/>
      <c r="E36" s="133"/>
      <c r="F36" s="10"/>
      <c r="G36" s="10"/>
      <c r="H36" s="10"/>
      <c r="I36" s="7"/>
    </row>
    <row r="37" ht="15.75" customHeight="1">
      <c r="A37" s="10"/>
      <c r="B37" s="10"/>
      <c r="C37" s="10"/>
      <c r="D37" s="10"/>
      <c r="E37" s="133"/>
      <c r="F37" s="10"/>
      <c r="G37" s="10"/>
      <c r="H37" s="10"/>
      <c r="I37" s="7"/>
    </row>
    <row r="38" ht="15.75" customHeight="1">
      <c r="A38" s="10"/>
      <c r="B38" s="10"/>
      <c r="C38" s="10"/>
      <c r="D38" s="10"/>
      <c r="E38" s="133"/>
      <c r="F38" s="10"/>
      <c r="G38" s="10"/>
      <c r="H38" s="10"/>
      <c r="I38" s="7"/>
    </row>
    <row r="39" ht="15.75" customHeight="1">
      <c r="B39" s="141"/>
      <c r="C39" s="141"/>
      <c r="D39" s="141"/>
      <c r="E39" s="142"/>
      <c r="F39" s="141"/>
      <c r="G39" s="141"/>
      <c r="I39" s="7"/>
    </row>
    <row r="40" ht="15.75" customHeight="1">
      <c r="B40" s="141"/>
      <c r="C40" s="141"/>
      <c r="D40" s="141"/>
      <c r="E40" s="142"/>
      <c r="F40" s="141"/>
      <c r="G40" s="141"/>
      <c r="I40" s="7"/>
    </row>
    <row r="41" ht="15.75" customHeight="1">
      <c r="B41" s="141"/>
      <c r="C41" s="141"/>
      <c r="D41" s="141"/>
      <c r="E41" s="142"/>
      <c r="F41" s="141"/>
      <c r="G41" s="141"/>
      <c r="I41" s="7"/>
    </row>
    <row r="42" ht="15.75" customHeight="1">
      <c r="B42" s="141"/>
      <c r="C42" s="141"/>
      <c r="D42" s="141"/>
      <c r="E42" s="142"/>
      <c r="F42" s="141"/>
      <c r="G42" s="141"/>
      <c r="I42" s="7"/>
    </row>
    <row r="43" ht="15.75" customHeight="1">
      <c r="B43" s="141"/>
      <c r="C43" s="141"/>
      <c r="D43" s="141"/>
      <c r="E43" s="142"/>
      <c r="F43" s="141"/>
      <c r="G43" s="141"/>
      <c r="I43" s="7"/>
    </row>
    <row r="44" ht="15.75" customHeight="1">
      <c r="B44" s="141"/>
      <c r="C44" s="141"/>
      <c r="D44" s="141"/>
      <c r="E44" s="142"/>
      <c r="F44" s="141"/>
      <c r="G44" s="141"/>
      <c r="I44" s="7"/>
    </row>
    <row r="45" ht="15.75" customHeight="1">
      <c r="B45" s="141"/>
      <c r="C45" s="141"/>
      <c r="D45" s="141"/>
      <c r="E45" s="142"/>
      <c r="F45" s="141"/>
      <c r="G45" s="141"/>
      <c r="I45" s="7"/>
    </row>
    <row r="46" ht="15.75" customHeight="1">
      <c r="B46" s="141"/>
      <c r="C46" s="141"/>
      <c r="D46" s="141"/>
      <c r="E46" s="142"/>
      <c r="F46" s="141"/>
      <c r="G46" s="141"/>
      <c r="I46" s="7"/>
    </row>
    <row r="47" ht="15.75" customHeight="1">
      <c r="B47" s="141"/>
      <c r="C47" s="141"/>
      <c r="D47" s="141"/>
      <c r="E47" s="142"/>
      <c r="F47" s="141"/>
      <c r="G47" s="141"/>
      <c r="I47" s="7"/>
    </row>
    <row r="48" ht="15.75" customHeight="1">
      <c r="B48" s="141"/>
      <c r="C48" s="141"/>
      <c r="D48" s="141"/>
      <c r="E48" s="142"/>
      <c r="F48" s="141"/>
      <c r="G48" s="141"/>
      <c r="I48" s="7"/>
    </row>
    <row r="49" ht="15.75" customHeight="1">
      <c r="B49" s="141"/>
      <c r="C49" s="141"/>
      <c r="D49" s="141"/>
      <c r="E49" s="142"/>
      <c r="F49" s="141"/>
      <c r="G49" s="141"/>
      <c r="I49" s="7"/>
    </row>
    <row r="50" ht="15.75" customHeight="1">
      <c r="B50" s="141"/>
      <c r="C50" s="141"/>
      <c r="D50" s="141"/>
      <c r="E50" s="142"/>
      <c r="F50" s="141"/>
      <c r="G50" s="141"/>
      <c r="I50" s="7"/>
    </row>
    <row r="51" ht="15.75" customHeight="1">
      <c r="B51" s="141"/>
      <c r="C51" s="141"/>
      <c r="D51" s="141"/>
      <c r="E51" s="142"/>
      <c r="F51" s="141"/>
      <c r="G51" s="141"/>
      <c r="I51" s="7"/>
    </row>
    <row r="52" ht="15.75" customHeight="1">
      <c r="B52" s="141"/>
      <c r="C52" s="141"/>
      <c r="D52" s="141"/>
      <c r="E52" s="142"/>
      <c r="F52" s="141"/>
      <c r="G52" s="141"/>
      <c r="I52" s="7"/>
    </row>
    <row r="53" ht="15.75" customHeight="1">
      <c r="B53" s="141"/>
      <c r="C53" s="141"/>
      <c r="D53" s="141"/>
      <c r="E53" s="142"/>
      <c r="F53" s="141"/>
      <c r="G53" s="141"/>
      <c r="I53" s="7"/>
    </row>
    <row r="54" ht="15.75" customHeight="1">
      <c r="B54" s="141"/>
      <c r="C54" s="141"/>
      <c r="D54" s="141"/>
      <c r="E54" s="142"/>
      <c r="F54" s="141"/>
      <c r="G54" s="141"/>
      <c r="I54" s="7"/>
    </row>
    <row r="55" ht="15.75" customHeight="1">
      <c r="B55" s="141"/>
      <c r="C55" s="141"/>
      <c r="D55" s="141"/>
      <c r="E55" s="142"/>
      <c r="F55" s="141"/>
      <c r="G55" s="141"/>
      <c r="I55" s="7"/>
    </row>
    <row r="56" ht="15.75" customHeight="1">
      <c r="B56" s="141"/>
      <c r="C56" s="141"/>
      <c r="D56" s="141"/>
      <c r="E56" s="142"/>
      <c r="F56" s="141"/>
      <c r="G56" s="141"/>
      <c r="I56" s="7"/>
    </row>
    <row r="57" ht="15.75" customHeight="1">
      <c r="B57" s="141"/>
      <c r="C57" s="141"/>
      <c r="D57" s="141"/>
      <c r="E57" s="142"/>
      <c r="F57" s="141"/>
      <c r="G57" s="141"/>
      <c r="I57" s="7"/>
    </row>
    <row r="58" ht="15.75" customHeight="1">
      <c r="B58" s="141"/>
      <c r="C58" s="141"/>
      <c r="D58" s="141"/>
      <c r="E58" s="142"/>
      <c r="F58" s="141"/>
      <c r="G58" s="141"/>
      <c r="I58" s="7"/>
    </row>
    <row r="59" ht="15.75" customHeight="1">
      <c r="B59" s="141"/>
      <c r="C59" s="141"/>
      <c r="D59" s="141"/>
      <c r="E59" s="142"/>
      <c r="F59" s="141"/>
      <c r="G59" s="141"/>
      <c r="I59" s="7"/>
    </row>
    <row r="60" ht="15.75" customHeight="1">
      <c r="B60" s="141"/>
      <c r="C60" s="141"/>
      <c r="D60" s="141"/>
      <c r="E60" s="142"/>
      <c r="F60" s="141"/>
      <c r="G60" s="141"/>
      <c r="I60" s="7"/>
    </row>
    <row r="61" ht="15.75" customHeight="1">
      <c r="B61" s="141"/>
      <c r="C61" s="141"/>
      <c r="D61" s="141"/>
      <c r="E61" s="142"/>
      <c r="F61" s="141"/>
      <c r="G61" s="141"/>
      <c r="I61" s="7"/>
    </row>
    <row r="62" ht="15.75" customHeight="1">
      <c r="B62" s="141"/>
      <c r="C62" s="141"/>
      <c r="D62" s="141"/>
      <c r="E62" s="142"/>
      <c r="F62" s="141"/>
      <c r="G62" s="141"/>
      <c r="I62" s="7"/>
    </row>
    <row r="63" ht="15.75" customHeight="1">
      <c r="B63" s="141"/>
      <c r="C63" s="141"/>
      <c r="D63" s="141"/>
      <c r="E63" s="142"/>
      <c r="F63" s="141"/>
      <c r="G63" s="141"/>
      <c r="I63" s="7"/>
    </row>
    <row r="64" ht="15.75" customHeight="1">
      <c r="B64" s="141"/>
      <c r="C64" s="141"/>
      <c r="D64" s="141"/>
      <c r="E64" s="142"/>
      <c r="F64" s="141"/>
      <c r="G64" s="141"/>
      <c r="I64" s="7"/>
    </row>
    <row r="65" ht="15.75" customHeight="1">
      <c r="B65" s="141"/>
      <c r="C65" s="141"/>
      <c r="D65" s="141"/>
      <c r="E65" s="142"/>
      <c r="F65" s="141"/>
      <c r="G65" s="141"/>
      <c r="I65" s="7"/>
    </row>
    <row r="66" ht="15.75" customHeight="1">
      <c r="B66" s="141"/>
      <c r="C66" s="141"/>
      <c r="D66" s="141"/>
      <c r="E66" s="142"/>
      <c r="F66" s="141"/>
      <c r="G66" s="141"/>
      <c r="I66" s="7"/>
    </row>
    <row r="67" ht="15.75" customHeight="1">
      <c r="B67" s="141"/>
      <c r="C67" s="141"/>
      <c r="D67" s="141"/>
      <c r="E67" s="142"/>
      <c r="F67" s="141"/>
      <c r="G67" s="141"/>
      <c r="I67" s="7"/>
    </row>
    <row r="68" ht="15.75" customHeight="1">
      <c r="B68" s="141"/>
      <c r="C68" s="141"/>
      <c r="D68" s="141"/>
      <c r="E68" s="142"/>
      <c r="F68" s="141"/>
      <c r="G68" s="141"/>
      <c r="I68" s="7"/>
    </row>
    <row r="69" ht="15.75" customHeight="1">
      <c r="B69" s="141"/>
      <c r="C69" s="141"/>
      <c r="D69" s="141"/>
      <c r="E69" s="142"/>
      <c r="F69" s="141"/>
      <c r="G69" s="141"/>
      <c r="I69" s="7"/>
    </row>
    <row r="70" ht="15.75" customHeight="1">
      <c r="B70" s="141"/>
      <c r="C70" s="141"/>
      <c r="D70" s="141"/>
      <c r="E70" s="142"/>
      <c r="F70" s="141"/>
      <c r="G70" s="141"/>
      <c r="I70" s="7"/>
    </row>
    <row r="71" ht="15.75" customHeight="1">
      <c r="B71" s="141"/>
      <c r="C71" s="141"/>
      <c r="D71" s="141"/>
      <c r="E71" s="142"/>
      <c r="F71" s="141"/>
      <c r="G71" s="141"/>
      <c r="I71" s="7"/>
    </row>
    <row r="72" ht="15.75" customHeight="1">
      <c r="B72" s="141"/>
      <c r="C72" s="141"/>
      <c r="D72" s="141"/>
      <c r="E72" s="142"/>
      <c r="F72" s="141"/>
      <c r="G72" s="141"/>
      <c r="I72" s="7"/>
    </row>
    <row r="73" ht="15.75" customHeight="1">
      <c r="B73" s="141"/>
      <c r="C73" s="141"/>
      <c r="D73" s="141"/>
      <c r="E73" s="142"/>
      <c r="F73" s="141"/>
      <c r="G73" s="141"/>
      <c r="I73" s="7"/>
    </row>
    <row r="74" ht="15.75" customHeight="1">
      <c r="B74" s="141"/>
      <c r="C74" s="141"/>
      <c r="D74" s="141"/>
      <c r="E74" s="142"/>
      <c r="F74" s="141"/>
      <c r="G74" s="141"/>
      <c r="I74" s="7"/>
    </row>
    <row r="75" ht="15.75" customHeight="1">
      <c r="B75" s="141"/>
      <c r="C75" s="141"/>
      <c r="D75" s="141"/>
      <c r="E75" s="142"/>
      <c r="F75" s="141"/>
      <c r="G75" s="141"/>
      <c r="I75" s="7"/>
    </row>
    <row r="76" ht="15.75" customHeight="1">
      <c r="B76" s="141"/>
      <c r="C76" s="141"/>
      <c r="D76" s="141"/>
      <c r="E76" s="142"/>
      <c r="F76" s="141"/>
      <c r="G76" s="141"/>
      <c r="I76" s="7"/>
    </row>
    <row r="77" ht="15.75" customHeight="1">
      <c r="B77" s="141"/>
      <c r="C77" s="141"/>
      <c r="D77" s="141"/>
      <c r="E77" s="142"/>
      <c r="F77" s="141"/>
      <c r="G77" s="141"/>
      <c r="I77" s="7"/>
    </row>
    <row r="78" ht="15.75" customHeight="1">
      <c r="B78" s="141"/>
      <c r="C78" s="141"/>
      <c r="D78" s="141"/>
      <c r="E78" s="142"/>
      <c r="F78" s="141"/>
      <c r="G78" s="141"/>
      <c r="I78" s="7"/>
    </row>
    <row r="79" ht="15.75" customHeight="1">
      <c r="B79" s="141"/>
      <c r="C79" s="141"/>
      <c r="D79" s="141"/>
      <c r="E79" s="142"/>
      <c r="F79" s="141"/>
      <c r="G79" s="141"/>
      <c r="I79" s="7"/>
    </row>
    <row r="80" ht="15.75" customHeight="1">
      <c r="B80" s="141"/>
      <c r="C80" s="141"/>
      <c r="D80" s="141"/>
      <c r="E80" s="142"/>
      <c r="F80" s="141"/>
      <c r="G80" s="141"/>
      <c r="I80" s="7"/>
    </row>
    <row r="81" ht="15.75" customHeight="1">
      <c r="B81" s="141"/>
      <c r="C81" s="141"/>
      <c r="D81" s="141"/>
      <c r="E81" s="142"/>
      <c r="F81" s="141"/>
      <c r="G81" s="141"/>
      <c r="I81" s="7"/>
    </row>
    <row r="82" ht="15.75" customHeight="1">
      <c r="B82" s="141"/>
      <c r="C82" s="141"/>
      <c r="D82" s="141"/>
      <c r="E82" s="142"/>
      <c r="F82" s="141"/>
      <c r="G82" s="141"/>
      <c r="I82" s="7"/>
    </row>
    <row r="83" ht="15.75" customHeight="1">
      <c r="B83" s="141"/>
      <c r="C83" s="141"/>
      <c r="D83" s="141"/>
      <c r="E83" s="142"/>
      <c r="F83" s="141"/>
      <c r="G83" s="141"/>
      <c r="I83" s="7"/>
    </row>
    <row r="84" ht="15.75" customHeight="1">
      <c r="B84" s="141"/>
      <c r="C84" s="141"/>
      <c r="D84" s="141"/>
      <c r="E84" s="142"/>
      <c r="F84" s="141"/>
      <c r="G84" s="141"/>
      <c r="I84" s="7"/>
    </row>
    <row r="85" ht="15.75" customHeight="1">
      <c r="B85" s="141"/>
      <c r="C85" s="141"/>
      <c r="D85" s="141"/>
      <c r="E85" s="142"/>
      <c r="F85" s="141"/>
      <c r="G85" s="141"/>
      <c r="I85" s="7"/>
    </row>
    <row r="86" ht="15.75" customHeight="1">
      <c r="B86" s="141"/>
      <c r="C86" s="141"/>
      <c r="D86" s="141"/>
      <c r="E86" s="142"/>
      <c r="F86" s="141"/>
      <c r="G86" s="141"/>
      <c r="I86" s="7"/>
    </row>
    <row r="87" ht="15.75" customHeight="1">
      <c r="B87" s="141"/>
      <c r="C87" s="141"/>
      <c r="D87" s="141"/>
      <c r="E87" s="142"/>
      <c r="F87" s="141"/>
      <c r="G87" s="141"/>
      <c r="I87" s="7"/>
    </row>
    <row r="88" ht="15.75" customHeight="1">
      <c r="B88" s="141"/>
      <c r="C88" s="141"/>
      <c r="D88" s="141"/>
      <c r="E88" s="142"/>
      <c r="F88" s="141"/>
      <c r="G88" s="141"/>
      <c r="I88" s="7"/>
    </row>
    <row r="89" ht="15.75" customHeight="1">
      <c r="B89" s="141"/>
      <c r="C89" s="141"/>
      <c r="D89" s="141"/>
      <c r="E89" s="142"/>
      <c r="F89" s="141"/>
      <c r="G89" s="141"/>
      <c r="I89" s="7"/>
    </row>
    <row r="90" ht="15.75" customHeight="1">
      <c r="B90" s="141"/>
      <c r="C90" s="141"/>
      <c r="D90" s="141"/>
      <c r="E90" s="142"/>
      <c r="F90" s="141"/>
      <c r="G90" s="141"/>
      <c r="I90" s="7"/>
    </row>
    <row r="91" ht="15.75" customHeight="1">
      <c r="B91" s="141"/>
      <c r="C91" s="141"/>
      <c r="D91" s="141"/>
      <c r="E91" s="142"/>
      <c r="F91" s="141"/>
      <c r="G91" s="141"/>
      <c r="I91" s="7"/>
    </row>
    <row r="92" ht="15.75" customHeight="1">
      <c r="B92" s="141"/>
      <c r="C92" s="141"/>
      <c r="D92" s="141"/>
      <c r="E92" s="142"/>
      <c r="F92" s="141"/>
      <c r="G92" s="141"/>
      <c r="I92" s="7"/>
    </row>
    <row r="93" ht="15.75" customHeight="1">
      <c r="B93" s="141"/>
      <c r="C93" s="141"/>
      <c r="D93" s="141"/>
      <c r="E93" s="142"/>
      <c r="F93" s="141"/>
      <c r="G93" s="141"/>
      <c r="I93" s="7"/>
    </row>
    <row r="94" ht="15.75" customHeight="1">
      <c r="B94" s="141"/>
      <c r="C94" s="141"/>
      <c r="D94" s="141"/>
      <c r="E94" s="142"/>
      <c r="F94" s="141"/>
      <c r="G94" s="141"/>
      <c r="I94" s="7"/>
    </row>
    <row r="95" ht="15.75" customHeight="1">
      <c r="B95" s="141"/>
      <c r="C95" s="141"/>
      <c r="D95" s="141"/>
      <c r="E95" s="142"/>
      <c r="F95" s="141"/>
      <c r="G95" s="141"/>
      <c r="I95" s="7"/>
    </row>
    <row r="96" ht="15.75" customHeight="1">
      <c r="B96" s="141"/>
      <c r="C96" s="141"/>
      <c r="D96" s="141"/>
      <c r="E96" s="142"/>
      <c r="F96" s="141"/>
      <c r="G96" s="141"/>
      <c r="I96" s="7"/>
    </row>
    <row r="97" ht="15.75" customHeight="1">
      <c r="B97" s="141"/>
      <c r="C97" s="141"/>
      <c r="D97" s="141"/>
      <c r="E97" s="142"/>
      <c r="F97" s="141"/>
      <c r="G97" s="141"/>
      <c r="I97" s="7"/>
    </row>
    <row r="98" ht="15.75" customHeight="1">
      <c r="B98" s="141"/>
      <c r="C98" s="141"/>
      <c r="D98" s="141"/>
      <c r="E98" s="142"/>
      <c r="F98" s="141"/>
      <c r="G98" s="141"/>
      <c r="I98" s="7"/>
    </row>
    <row r="99" ht="15.75" customHeight="1">
      <c r="B99" s="141"/>
      <c r="C99" s="141"/>
      <c r="D99" s="141"/>
      <c r="E99" s="142"/>
      <c r="F99" s="141"/>
      <c r="G99" s="141"/>
      <c r="I99" s="7"/>
    </row>
    <row r="100" ht="15.75" customHeight="1">
      <c r="B100" s="141"/>
      <c r="C100" s="141"/>
      <c r="D100" s="141"/>
      <c r="E100" s="142"/>
      <c r="F100" s="141"/>
      <c r="G100" s="141"/>
      <c r="I100" s="7"/>
    </row>
    <row r="101" ht="15.75" customHeight="1">
      <c r="B101" s="141"/>
      <c r="C101" s="141"/>
      <c r="D101" s="141"/>
      <c r="E101" s="142"/>
      <c r="F101" s="141"/>
      <c r="G101" s="141"/>
      <c r="I101" s="7"/>
    </row>
    <row r="102" ht="15.75" customHeight="1">
      <c r="B102" s="141"/>
      <c r="C102" s="141"/>
      <c r="D102" s="141"/>
      <c r="E102" s="142"/>
      <c r="F102" s="141"/>
      <c r="G102" s="141"/>
      <c r="I102" s="7"/>
    </row>
    <row r="103" ht="15.75" customHeight="1">
      <c r="B103" s="141"/>
      <c r="C103" s="141"/>
      <c r="D103" s="141"/>
      <c r="E103" s="142"/>
      <c r="F103" s="141"/>
      <c r="G103" s="141"/>
      <c r="I103" s="7"/>
    </row>
    <row r="104" ht="15.75" customHeight="1">
      <c r="B104" s="141"/>
      <c r="C104" s="141"/>
      <c r="D104" s="141"/>
      <c r="E104" s="142"/>
      <c r="F104" s="141"/>
      <c r="G104" s="141"/>
      <c r="I104" s="7"/>
    </row>
    <row r="105" ht="15.75" customHeight="1">
      <c r="B105" s="141"/>
      <c r="C105" s="141"/>
      <c r="D105" s="141"/>
      <c r="E105" s="142"/>
      <c r="F105" s="141"/>
      <c r="G105" s="141"/>
      <c r="I105" s="7"/>
    </row>
    <row r="106" ht="15.75" customHeight="1">
      <c r="B106" s="141"/>
      <c r="C106" s="141"/>
      <c r="D106" s="141"/>
      <c r="E106" s="142"/>
      <c r="F106" s="141"/>
      <c r="G106" s="141"/>
      <c r="I106" s="7"/>
    </row>
    <row r="107" ht="15.75" customHeight="1">
      <c r="B107" s="141"/>
      <c r="C107" s="141"/>
      <c r="D107" s="141"/>
      <c r="E107" s="142"/>
      <c r="F107" s="141"/>
      <c r="G107" s="141"/>
      <c r="I107" s="7"/>
    </row>
    <row r="108" ht="15.75" customHeight="1">
      <c r="B108" s="141"/>
      <c r="C108" s="141"/>
      <c r="D108" s="141"/>
      <c r="E108" s="142"/>
      <c r="F108" s="141"/>
      <c r="G108" s="141"/>
      <c r="I108" s="7"/>
    </row>
    <row r="109" ht="15.75" customHeight="1">
      <c r="B109" s="141"/>
      <c r="C109" s="141"/>
      <c r="D109" s="141"/>
      <c r="E109" s="142"/>
      <c r="F109" s="141"/>
      <c r="G109" s="141"/>
      <c r="I109" s="7"/>
    </row>
    <row r="110" ht="15.75" customHeight="1">
      <c r="B110" s="141"/>
      <c r="C110" s="141"/>
      <c r="D110" s="141"/>
      <c r="E110" s="142"/>
      <c r="F110" s="141"/>
      <c r="G110" s="141"/>
      <c r="I110" s="7"/>
    </row>
    <row r="111" ht="15.75" customHeight="1">
      <c r="B111" s="141"/>
      <c r="C111" s="141"/>
      <c r="D111" s="141"/>
      <c r="E111" s="142"/>
      <c r="F111" s="141"/>
      <c r="G111" s="141"/>
      <c r="I111" s="7"/>
    </row>
    <row r="112" ht="15.75" customHeight="1">
      <c r="B112" s="141"/>
      <c r="C112" s="141"/>
      <c r="D112" s="141"/>
      <c r="E112" s="142"/>
      <c r="F112" s="141"/>
      <c r="G112" s="141"/>
      <c r="I112" s="7"/>
    </row>
    <row r="113" ht="15.75" customHeight="1">
      <c r="B113" s="141"/>
      <c r="C113" s="141"/>
      <c r="D113" s="141"/>
      <c r="E113" s="142"/>
      <c r="F113" s="141"/>
      <c r="G113" s="141"/>
      <c r="I113" s="7"/>
    </row>
    <row r="114" ht="15.75" customHeight="1">
      <c r="B114" s="141"/>
      <c r="C114" s="141"/>
      <c r="D114" s="141"/>
      <c r="E114" s="142"/>
      <c r="F114" s="141"/>
      <c r="G114" s="141"/>
      <c r="I114" s="7"/>
    </row>
    <row r="115" ht="15.75" customHeight="1">
      <c r="B115" s="141"/>
      <c r="C115" s="141"/>
      <c r="D115" s="141"/>
      <c r="E115" s="142"/>
      <c r="F115" s="141"/>
      <c r="G115" s="141"/>
      <c r="I115" s="7"/>
    </row>
    <row r="116" ht="15.75" customHeight="1">
      <c r="B116" s="141"/>
      <c r="C116" s="141"/>
      <c r="D116" s="141"/>
      <c r="E116" s="142"/>
      <c r="F116" s="141"/>
      <c r="G116" s="141"/>
      <c r="I116" s="7"/>
    </row>
    <row r="117" ht="15.75" customHeight="1">
      <c r="B117" s="141"/>
      <c r="C117" s="141"/>
      <c r="D117" s="141"/>
      <c r="E117" s="142"/>
      <c r="F117" s="141"/>
      <c r="G117" s="141"/>
      <c r="I117" s="7"/>
    </row>
    <row r="118" ht="15.75" customHeight="1">
      <c r="B118" s="141"/>
      <c r="C118" s="141"/>
      <c r="D118" s="141"/>
      <c r="E118" s="142"/>
      <c r="F118" s="141"/>
      <c r="G118" s="141"/>
      <c r="I118" s="7"/>
    </row>
    <row r="119" ht="15.75" customHeight="1">
      <c r="B119" s="141"/>
      <c r="C119" s="141"/>
      <c r="D119" s="141"/>
      <c r="E119" s="142"/>
      <c r="F119" s="141"/>
      <c r="G119" s="141"/>
      <c r="I119" s="7"/>
    </row>
    <row r="120" ht="15.75" customHeight="1">
      <c r="B120" s="141"/>
      <c r="C120" s="141"/>
      <c r="D120" s="141"/>
      <c r="E120" s="142"/>
      <c r="F120" s="141"/>
      <c r="G120" s="141"/>
      <c r="I120" s="7"/>
    </row>
    <row r="121" ht="15.75" customHeight="1">
      <c r="B121" s="141"/>
      <c r="C121" s="141"/>
      <c r="D121" s="141"/>
      <c r="E121" s="142"/>
      <c r="F121" s="141"/>
      <c r="G121" s="141"/>
      <c r="I121" s="7"/>
    </row>
    <row r="122" ht="15.75" customHeight="1">
      <c r="B122" s="141"/>
      <c r="C122" s="141"/>
      <c r="D122" s="141"/>
      <c r="E122" s="142"/>
      <c r="F122" s="141"/>
      <c r="G122" s="141"/>
      <c r="I122" s="7"/>
    </row>
    <row r="123" ht="15.75" customHeight="1">
      <c r="B123" s="141"/>
      <c r="C123" s="141"/>
      <c r="D123" s="141"/>
      <c r="E123" s="142"/>
      <c r="F123" s="141"/>
      <c r="G123" s="141"/>
      <c r="I123" s="7"/>
    </row>
    <row r="124" ht="15.75" customHeight="1">
      <c r="B124" s="141"/>
      <c r="C124" s="141"/>
      <c r="D124" s="141"/>
      <c r="E124" s="142"/>
      <c r="F124" s="141"/>
      <c r="G124" s="141"/>
      <c r="I124" s="7"/>
    </row>
    <row r="125" ht="15.75" customHeight="1">
      <c r="B125" s="141"/>
      <c r="C125" s="141"/>
      <c r="D125" s="141"/>
      <c r="E125" s="142"/>
      <c r="F125" s="141"/>
      <c r="G125" s="141"/>
      <c r="I125" s="7"/>
    </row>
    <row r="126" ht="15.75" customHeight="1">
      <c r="B126" s="141"/>
      <c r="C126" s="141"/>
      <c r="D126" s="141"/>
      <c r="E126" s="142"/>
      <c r="F126" s="141"/>
      <c r="G126" s="141"/>
      <c r="I126" s="7"/>
    </row>
    <row r="127" ht="15.75" customHeight="1">
      <c r="B127" s="141"/>
      <c r="C127" s="141"/>
      <c r="D127" s="141"/>
      <c r="E127" s="142"/>
      <c r="F127" s="141"/>
      <c r="G127" s="141"/>
      <c r="I127" s="7"/>
    </row>
    <row r="128" ht="15.75" customHeight="1">
      <c r="B128" s="141"/>
      <c r="C128" s="141"/>
      <c r="D128" s="141"/>
      <c r="E128" s="142"/>
      <c r="F128" s="141"/>
      <c r="G128" s="141"/>
      <c r="I128" s="7"/>
    </row>
    <row r="129" ht="15.75" customHeight="1">
      <c r="B129" s="141"/>
      <c r="C129" s="141"/>
      <c r="D129" s="141"/>
      <c r="E129" s="142"/>
      <c r="F129" s="141"/>
      <c r="G129" s="141"/>
      <c r="I129" s="7"/>
    </row>
    <row r="130" ht="15.75" customHeight="1">
      <c r="B130" s="141"/>
      <c r="C130" s="141"/>
      <c r="D130" s="141"/>
      <c r="E130" s="142"/>
      <c r="F130" s="141"/>
      <c r="G130" s="141"/>
      <c r="I130" s="7"/>
    </row>
    <row r="131" ht="15.75" customHeight="1">
      <c r="B131" s="141"/>
      <c r="C131" s="141"/>
      <c r="D131" s="141"/>
      <c r="E131" s="142"/>
      <c r="F131" s="141"/>
      <c r="G131" s="141"/>
      <c r="I131" s="7"/>
    </row>
    <row r="132" ht="15.75" customHeight="1">
      <c r="B132" s="141"/>
      <c r="C132" s="141"/>
      <c r="D132" s="141"/>
      <c r="E132" s="142"/>
      <c r="F132" s="141"/>
      <c r="G132" s="141"/>
      <c r="I132" s="7"/>
    </row>
    <row r="133" ht="15.75" customHeight="1">
      <c r="B133" s="141"/>
      <c r="C133" s="141"/>
      <c r="D133" s="141"/>
      <c r="E133" s="142"/>
      <c r="F133" s="141"/>
      <c r="G133" s="141"/>
      <c r="I133" s="7"/>
    </row>
    <row r="134" ht="15.75" customHeight="1">
      <c r="B134" s="141"/>
      <c r="C134" s="141"/>
      <c r="D134" s="141"/>
      <c r="E134" s="142"/>
      <c r="F134" s="141"/>
      <c r="G134" s="141"/>
      <c r="I134" s="7"/>
    </row>
    <row r="135" ht="15.75" customHeight="1">
      <c r="B135" s="141"/>
      <c r="C135" s="141"/>
      <c r="D135" s="141"/>
      <c r="E135" s="142"/>
      <c r="F135" s="141"/>
      <c r="G135" s="141"/>
      <c r="I135" s="7"/>
    </row>
    <row r="136" ht="15.75" customHeight="1">
      <c r="B136" s="141"/>
      <c r="C136" s="141"/>
      <c r="D136" s="141"/>
      <c r="E136" s="142"/>
      <c r="F136" s="141"/>
      <c r="G136" s="141"/>
      <c r="I136" s="7"/>
    </row>
    <row r="137" ht="15.75" customHeight="1">
      <c r="B137" s="141"/>
      <c r="C137" s="141"/>
      <c r="D137" s="141"/>
      <c r="E137" s="142"/>
      <c r="F137" s="141"/>
      <c r="G137" s="141"/>
      <c r="I137" s="7"/>
    </row>
    <row r="138" ht="15.75" customHeight="1">
      <c r="B138" s="141"/>
      <c r="C138" s="141"/>
      <c r="D138" s="141"/>
      <c r="E138" s="142"/>
      <c r="F138" s="141"/>
      <c r="G138" s="141"/>
      <c r="I138" s="7"/>
    </row>
    <row r="139" ht="15.75" customHeight="1">
      <c r="B139" s="141"/>
      <c r="C139" s="141"/>
      <c r="D139" s="141"/>
      <c r="E139" s="142"/>
      <c r="F139" s="141"/>
      <c r="G139" s="141"/>
      <c r="I139" s="7"/>
    </row>
    <row r="140" ht="15.75" customHeight="1">
      <c r="B140" s="141"/>
      <c r="C140" s="141"/>
      <c r="D140" s="141"/>
      <c r="E140" s="142"/>
      <c r="F140" s="141"/>
      <c r="G140" s="141"/>
      <c r="I140" s="7"/>
    </row>
    <row r="141" ht="15.75" customHeight="1">
      <c r="B141" s="141"/>
      <c r="C141" s="141"/>
      <c r="D141" s="141"/>
      <c r="E141" s="142"/>
      <c r="F141" s="141"/>
      <c r="G141" s="141"/>
      <c r="I141" s="7"/>
    </row>
    <row r="142" ht="15.75" customHeight="1">
      <c r="B142" s="141"/>
      <c r="C142" s="141"/>
      <c r="D142" s="141"/>
      <c r="E142" s="142"/>
      <c r="F142" s="141"/>
      <c r="G142" s="141"/>
      <c r="I142" s="7"/>
    </row>
    <row r="143" ht="15.75" customHeight="1">
      <c r="B143" s="141"/>
      <c r="C143" s="141"/>
      <c r="D143" s="141"/>
      <c r="E143" s="142"/>
      <c r="F143" s="141"/>
      <c r="G143" s="141"/>
      <c r="I143" s="7"/>
    </row>
    <row r="144" ht="15.75" customHeight="1">
      <c r="B144" s="141"/>
      <c r="C144" s="141"/>
      <c r="D144" s="141"/>
      <c r="E144" s="142"/>
      <c r="F144" s="141"/>
      <c r="G144" s="141"/>
      <c r="I144" s="7"/>
    </row>
    <row r="145" ht="15.75" customHeight="1">
      <c r="B145" s="141"/>
      <c r="C145" s="141"/>
      <c r="D145" s="141"/>
      <c r="E145" s="142"/>
      <c r="F145" s="141"/>
      <c r="G145" s="141"/>
      <c r="I145" s="7"/>
    </row>
    <row r="146" ht="15.75" customHeight="1">
      <c r="B146" s="141"/>
      <c r="C146" s="141"/>
      <c r="D146" s="141"/>
      <c r="E146" s="142"/>
      <c r="F146" s="141"/>
      <c r="G146" s="141"/>
      <c r="I146" s="7"/>
    </row>
    <row r="147" ht="15.75" customHeight="1">
      <c r="B147" s="141"/>
      <c r="C147" s="141"/>
      <c r="D147" s="141"/>
      <c r="E147" s="142"/>
      <c r="F147" s="141"/>
      <c r="G147" s="141"/>
      <c r="I147" s="7"/>
    </row>
    <row r="148" ht="15.75" customHeight="1">
      <c r="B148" s="141"/>
      <c r="C148" s="141"/>
      <c r="D148" s="141"/>
      <c r="E148" s="142"/>
      <c r="F148" s="141"/>
      <c r="G148" s="141"/>
      <c r="I148" s="7"/>
    </row>
    <row r="149" ht="15.75" customHeight="1">
      <c r="B149" s="141"/>
      <c r="C149" s="141"/>
      <c r="D149" s="141"/>
      <c r="E149" s="142"/>
      <c r="F149" s="141"/>
      <c r="G149" s="141"/>
      <c r="I149" s="7"/>
    </row>
    <row r="150" ht="15.75" customHeight="1">
      <c r="B150" s="141"/>
      <c r="C150" s="141"/>
      <c r="D150" s="141"/>
      <c r="E150" s="142"/>
      <c r="F150" s="141"/>
      <c r="G150" s="141"/>
      <c r="I150" s="7"/>
    </row>
    <row r="151" ht="15.75" customHeight="1">
      <c r="B151" s="141"/>
      <c r="C151" s="141"/>
      <c r="D151" s="141"/>
      <c r="E151" s="142"/>
      <c r="F151" s="141"/>
      <c r="G151" s="141"/>
      <c r="I151" s="7"/>
    </row>
    <row r="152" ht="15.75" customHeight="1">
      <c r="B152" s="141"/>
      <c r="C152" s="141"/>
      <c r="D152" s="141"/>
      <c r="E152" s="142"/>
      <c r="F152" s="141"/>
      <c r="G152" s="141"/>
      <c r="I152" s="7"/>
    </row>
    <row r="153" ht="15.75" customHeight="1">
      <c r="B153" s="141"/>
      <c r="C153" s="141"/>
      <c r="D153" s="141"/>
      <c r="E153" s="142"/>
      <c r="F153" s="141"/>
      <c r="G153" s="141"/>
      <c r="I153" s="7"/>
    </row>
    <row r="154" ht="15.75" customHeight="1">
      <c r="B154" s="141"/>
      <c r="C154" s="141"/>
      <c r="D154" s="141"/>
      <c r="E154" s="142"/>
      <c r="F154" s="141"/>
      <c r="G154" s="141"/>
      <c r="I154" s="7"/>
    </row>
    <row r="155" ht="15.75" customHeight="1">
      <c r="B155" s="141"/>
      <c r="C155" s="141"/>
      <c r="D155" s="141"/>
      <c r="E155" s="142"/>
      <c r="F155" s="141"/>
      <c r="G155" s="141"/>
      <c r="I155" s="7"/>
    </row>
    <row r="156" ht="15.75" customHeight="1">
      <c r="B156" s="141"/>
      <c r="C156" s="141"/>
      <c r="D156" s="141"/>
      <c r="E156" s="142"/>
      <c r="F156" s="141"/>
      <c r="G156" s="141"/>
      <c r="I156" s="7"/>
    </row>
    <row r="157" ht="15.75" customHeight="1">
      <c r="B157" s="141"/>
      <c r="C157" s="141"/>
      <c r="D157" s="141"/>
      <c r="E157" s="142"/>
      <c r="F157" s="141"/>
      <c r="G157" s="141"/>
      <c r="I157" s="7"/>
    </row>
    <row r="158" ht="15.75" customHeight="1">
      <c r="B158" s="141"/>
      <c r="C158" s="141"/>
      <c r="D158" s="141"/>
      <c r="E158" s="142"/>
      <c r="F158" s="141"/>
      <c r="G158" s="141"/>
      <c r="I158" s="7"/>
    </row>
    <row r="159" ht="15.75" customHeight="1">
      <c r="B159" s="141"/>
      <c r="C159" s="141"/>
      <c r="D159" s="141"/>
      <c r="E159" s="142"/>
      <c r="F159" s="141"/>
      <c r="G159" s="141"/>
      <c r="I159" s="7"/>
    </row>
    <row r="160" ht="15.75" customHeight="1">
      <c r="B160" s="141"/>
      <c r="C160" s="141"/>
      <c r="D160" s="141"/>
      <c r="E160" s="142"/>
      <c r="F160" s="141"/>
      <c r="G160" s="141"/>
      <c r="I160" s="7"/>
    </row>
    <row r="161" ht="15.75" customHeight="1">
      <c r="B161" s="141"/>
      <c r="C161" s="141"/>
      <c r="D161" s="141"/>
      <c r="E161" s="142"/>
      <c r="F161" s="141"/>
      <c r="G161" s="141"/>
      <c r="I161" s="7"/>
    </row>
    <row r="162" ht="15.75" customHeight="1">
      <c r="B162" s="141"/>
      <c r="C162" s="141"/>
      <c r="D162" s="141"/>
      <c r="E162" s="142"/>
      <c r="F162" s="141"/>
      <c r="G162" s="141"/>
      <c r="I162" s="7"/>
    </row>
    <row r="163" ht="15.75" customHeight="1">
      <c r="B163" s="141"/>
      <c r="C163" s="141"/>
      <c r="D163" s="141"/>
      <c r="E163" s="142"/>
      <c r="F163" s="141"/>
      <c r="G163" s="141"/>
      <c r="I163" s="7"/>
    </row>
    <row r="164" ht="15.75" customHeight="1">
      <c r="B164" s="141"/>
      <c r="C164" s="141"/>
      <c r="D164" s="141"/>
      <c r="E164" s="142"/>
      <c r="F164" s="141"/>
      <c r="G164" s="141"/>
      <c r="I164" s="7"/>
    </row>
    <row r="165" ht="15.75" customHeight="1">
      <c r="B165" s="141"/>
      <c r="C165" s="141"/>
      <c r="D165" s="141"/>
      <c r="E165" s="142"/>
      <c r="F165" s="141"/>
      <c r="G165" s="141"/>
      <c r="I165" s="7"/>
    </row>
    <row r="166" ht="15.75" customHeight="1">
      <c r="B166" s="141"/>
      <c r="C166" s="141"/>
      <c r="D166" s="141"/>
      <c r="E166" s="142"/>
      <c r="F166" s="141"/>
      <c r="G166" s="141"/>
      <c r="I166" s="7"/>
    </row>
    <row r="167" ht="15.75" customHeight="1">
      <c r="B167" s="141"/>
      <c r="C167" s="141"/>
      <c r="D167" s="141"/>
      <c r="E167" s="142"/>
      <c r="F167" s="141"/>
      <c r="G167" s="141"/>
      <c r="I167" s="7"/>
    </row>
    <row r="168" ht="15.75" customHeight="1">
      <c r="B168" s="141"/>
      <c r="C168" s="141"/>
      <c r="D168" s="141"/>
      <c r="E168" s="142"/>
      <c r="F168" s="141"/>
      <c r="G168" s="141"/>
      <c r="I168" s="7"/>
    </row>
    <row r="169" ht="15.75" customHeight="1">
      <c r="B169" s="141"/>
      <c r="C169" s="141"/>
      <c r="D169" s="141"/>
      <c r="E169" s="142"/>
      <c r="F169" s="141"/>
      <c r="G169" s="141"/>
      <c r="I169" s="7"/>
    </row>
    <row r="170" ht="15.75" customHeight="1">
      <c r="B170" s="141"/>
      <c r="C170" s="141"/>
      <c r="D170" s="141"/>
      <c r="E170" s="142"/>
      <c r="F170" s="141"/>
      <c r="G170" s="141"/>
      <c r="I170" s="7"/>
    </row>
    <row r="171" ht="15.75" customHeight="1">
      <c r="B171" s="141"/>
      <c r="C171" s="141"/>
      <c r="D171" s="141"/>
      <c r="E171" s="142"/>
      <c r="F171" s="141"/>
      <c r="G171" s="141"/>
      <c r="I171" s="7"/>
    </row>
    <row r="172" ht="15.75" customHeight="1">
      <c r="B172" s="141"/>
      <c r="C172" s="141"/>
      <c r="D172" s="141"/>
      <c r="E172" s="142"/>
      <c r="F172" s="141"/>
      <c r="G172" s="141"/>
      <c r="I172" s="7"/>
    </row>
    <row r="173" ht="15.75" customHeight="1">
      <c r="B173" s="141"/>
      <c r="C173" s="141"/>
      <c r="D173" s="141"/>
      <c r="E173" s="142"/>
      <c r="F173" s="141"/>
      <c r="G173" s="141"/>
      <c r="I173" s="7"/>
    </row>
    <row r="174" ht="15.75" customHeight="1">
      <c r="B174" s="141"/>
      <c r="C174" s="141"/>
      <c r="D174" s="141"/>
      <c r="E174" s="142"/>
      <c r="F174" s="141"/>
      <c r="G174" s="141"/>
      <c r="I174" s="7"/>
    </row>
    <row r="175" ht="15.75" customHeight="1">
      <c r="B175" s="141"/>
      <c r="C175" s="141"/>
      <c r="D175" s="141"/>
      <c r="E175" s="142"/>
      <c r="F175" s="141"/>
      <c r="G175" s="141"/>
      <c r="I175" s="7"/>
    </row>
    <row r="176" ht="15.75" customHeight="1">
      <c r="B176" s="141"/>
      <c r="C176" s="141"/>
      <c r="D176" s="141"/>
      <c r="E176" s="142"/>
      <c r="F176" s="141"/>
      <c r="G176" s="141"/>
      <c r="I176" s="7"/>
    </row>
    <row r="177" ht="15.75" customHeight="1">
      <c r="B177" s="141"/>
      <c r="C177" s="141"/>
      <c r="D177" s="141"/>
      <c r="E177" s="142"/>
      <c r="F177" s="141"/>
      <c r="G177" s="141"/>
      <c r="I177" s="7"/>
    </row>
    <row r="178" ht="15.75" customHeight="1">
      <c r="B178" s="141"/>
      <c r="C178" s="141"/>
      <c r="D178" s="141"/>
      <c r="E178" s="142"/>
      <c r="F178" s="141"/>
      <c r="G178" s="141"/>
      <c r="I178" s="7"/>
    </row>
    <row r="179" ht="15.75" customHeight="1">
      <c r="B179" s="141"/>
      <c r="C179" s="141"/>
      <c r="D179" s="141"/>
      <c r="E179" s="142"/>
      <c r="F179" s="141"/>
      <c r="G179" s="141"/>
      <c r="I179" s="7"/>
    </row>
    <row r="180" ht="15.75" customHeight="1">
      <c r="B180" s="141"/>
      <c r="C180" s="141"/>
      <c r="D180" s="141"/>
      <c r="E180" s="142"/>
      <c r="F180" s="141"/>
      <c r="G180" s="141"/>
      <c r="I180" s="7"/>
    </row>
    <row r="181" ht="15.75" customHeight="1">
      <c r="B181" s="141"/>
      <c r="C181" s="141"/>
      <c r="D181" s="141"/>
      <c r="E181" s="142"/>
      <c r="F181" s="141"/>
      <c r="G181" s="141"/>
      <c r="I181" s="7"/>
    </row>
    <row r="182" ht="15.75" customHeight="1">
      <c r="B182" s="141"/>
      <c r="C182" s="141"/>
      <c r="D182" s="141"/>
      <c r="E182" s="142"/>
      <c r="F182" s="141"/>
      <c r="G182" s="141"/>
      <c r="I182" s="7"/>
    </row>
    <row r="183" ht="15.75" customHeight="1">
      <c r="B183" s="141"/>
      <c r="C183" s="141"/>
      <c r="D183" s="141"/>
      <c r="E183" s="142"/>
      <c r="F183" s="141"/>
      <c r="G183" s="141"/>
      <c r="I183" s="7"/>
    </row>
    <row r="184" ht="15.75" customHeight="1">
      <c r="B184" s="141"/>
      <c r="C184" s="141"/>
      <c r="D184" s="141"/>
      <c r="E184" s="142"/>
      <c r="F184" s="141"/>
      <c r="G184" s="141"/>
      <c r="I184" s="7"/>
    </row>
    <row r="185" ht="15.75" customHeight="1">
      <c r="B185" s="141"/>
      <c r="C185" s="141"/>
      <c r="D185" s="141"/>
      <c r="E185" s="142"/>
      <c r="F185" s="141"/>
      <c r="G185" s="141"/>
      <c r="I185" s="7"/>
    </row>
    <row r="186" ht="15.75" customHeight="1">
      <c r="B186" s="141"/>
      <c r="C186" s="141"/>
      <c r="D186" s="141"/>
      <c r="E186" s="142"/>
      <c r="F186" s="141"/>
      <c r="G186" s="141"/>
      <c r="I186" s="7"/>
    </row>
    <row r="187" ht="15.75" customHeight="1">
      <c r="B187" s="141"/>
      <c r="C187" s="141"/>
      <c r="D187" s="141"/>
      <c r="E187" s="142"/>
      <c r="F187" s="141"/>
      <c r="G187" s="141"/>
      <c r="I187" s="7"/>
    </row>
    <row r="188" ht="15.75" customHeight="1">
      <c r="B188" s="141"/>
      <c r="C188" s="141"/>
      <c r="D188" s="141"/>
      <c r="E188" s="142"/>
      <c r="F188" s="141"/>
      <c r="G188" s="141"/>
      <c r="I188" s="7"/>
    </row>
    <row r="189" ht="15.75" customHeight="1">
      <c r="B189" s="141"/>
      <c r="C189" s="141"/>
      <c r="D189" s="141"/>
      <c r="E189" s="142"/>
      <c r="F189" s="141"/>
      <c r="G189" s="141"/>
      <c r="I189" s="7"/>
    </row>
    <row r="190" ht="15.75" customHeight="1">
      <c r="B190" s="141"/>
      <c r="C190" s="141"/>
      <c r="D190" s="141"/>
      <c r="E190" s="142"/>
      <c r="F190" s="141"/>
      <c r="G190" s="141"/>
      <c r="I190" s="7"/>
    </row>
    <row r="191" ht="15.75" customHeight="1">
      <c r="B191" s="141"/>
      <c r="C191" s="141"/>
      <c r="D191" s="141"/>
      <c r="E191" s="142"/>
      <c r="F191" s="141"/>
      <c r="G191" s="141"/>
      <c r="I191" s="7"/>
    </row>
    <row r="192" ht="15.75" customHeight="1">
      <c r="B192" s="141"/>
      <c r="C192" s="141"/>
      <c r="D192" s="141"/>
      <c r="E192" s="142"/>
      <c r="F192" s="141"/>
      <c r="G192" s="141"/>
      <c r="I192" s="7"/>
    </row>
    <row r="193" ht="15.75" customHeight="1">
      <c r="B193" s="141"/>
      <c r="C193" s="141"/>
      <c r="D193" s="141"/>
      <c r="E193" s="142"/>
      <c r="F193" s="141"/>
      <c r="G193" s="141"/>
      <c r="I193" s="7"/>
    </row>
    <row r="194" ht="15.75" customHeight="1">
      <c r="B194" s="141"/>
      <c r="C194" s="141"/>
      <c r="D194" s="141"/>
      <c r="E194" s="142"/>
      <c r="F194" s="141"/>
      <c r="G194" s="141"/>
      <c r="I194" s="7"/>
    </row>
    <row r="195" ht="15.75" customHeight="1">
      <c r="B195" s="141"/>
      <c r="C195" s="141"/>
      <c r="D195" s="141"/>
      <c r="E195" s="142"/>
      <c r="F195" s="141"/>
      <c r="G195" s="141"/>
      <c r="I195" s="7"/>
    </row>
    <row r="196" ht="15.75" customHeight="1">
      <c r="B196" s="141"/>
      <c r="C196" s="141"/>
      <c r="D196" s="141"/>
      <c r="E196" s="142"/>
      <c r="F196" s="141"/>
      <c r="G196" s="141"/>
      <c r="I196" s="7"/>
    </row>
    <row r="197" ht="15.75" customHeight="1">
      <c r="B197" s="141"/>
      <c r="C197" s="141"/>
      <c r="D197" s="141"/>
      <c r="E197" s="142"/>
      <c r="F197" s="141"/>
      <c r="G197" s="141"/>
      <c r="I197" s="7"/>
    </row>
    <row r="198" ht="15.75" customHeight="1">
      <c r="B198" s="141"/>
      <c r="C198" s="141"/>
      <c r="D198" s="141"/>
      <c r="E198" s="142"/>
      <c r="F198" s="141"/>
      <c r="G198" s="141"/>
      <c r="I198" s="7"/>
    </row>
    <row r="199" ht="15.75" customHeight="1">
      <c r="B199" s="141"/>
      <c r="C199" s="141"/>
      <c r="D199" s="141"/>
      <c r="E199" s="142"/>
      <c r="F199" s="141"/>
      <c r="G199" s="141"/>
      <c r="I199" s="7"/>
    </row>
    <row r="200" ht="15.75" customHeight="1">
      <c r="B200" s="141"/>
      <c r="C200" s="141"/>
      <c r="D200" s="141"/>
      <c r="E200" s="142"/>
      <c r="F200" s="141"/>
      <c r="G200" s="141"/>
      <c r="I200" s="7"/>
    </row>
    <row r="201" ht="15.75" customHeight="1">
      <c r="B201" s="141"/>
      <c r="C201" s="141"/>
      <c r="D201" s="141"/>
      <c r="E201" s="142"/>
      <c r="F201" s="141"/>
      <c r="G201" s="141"/>
      <c r="I201" s="7"/>
    </row>
    <row r="202" ht="15.75" customHeight="1">
      <c r="B202" s="141"/>
      <c r="C202" s="141"/>
      <c r="D202" s="141"/>
      <c r="E202" s="142"/>
      <c r="F202" s="141"/>
      <c r="G202" s="141"/>
      <c r="I202" s="7"/>
    </row>
    <row r="203" ht="15.75" customHeight="1">
      <c r="B203" s="141"/>
      <c r="C203" s="141"/>
      <c r="D203" s="141"/>
      <c r="E203" s="142"/>
      <c r="F203" s="141"/>
      <c r="G203" s="141"/>
      <c r="I203" s="7"/>
    </row>
    <row r="204" ht="15.75" customHeight="1">
      <c r="B204" s="141"/>
      <c r="C204" s="141"/>
      <c r="D204" s="141"/>
      <c r="E204" s="142"/>
      <c r="F204" s="141"/>
      <c r="G204" s="141"/>
      <c r="I204" s="7"/>
    </row>
    <row r="205" ht="15.75" customHeight="1">
      <c r="B205" s="141"/>
      <c r="C205" s="141"/>
      <c r="D205" s="141"/>
      <c r="E205" s="142"/>
      <c r="F205" s="141"/>
      <c r="G205" s="141"/>
      <c r="I205" s="7"/>
    </row>
    <row r="206" ht="15.75" customHeight="1">
      <c r="B206" s="141"/>
      <c r="C206" s="141"/>
      <c r="D206" s="141"/>
      <c r="E206" s="142"/>
      <c r="F206" s="141"/>
      <c r="G206" s="141"/>
      <c r="I206" s="7"/>
    </row>
    <row r="207" ht="15.75" customHeight="1">
      <c r="B207" s="141"/>
      <c r="C207" s="141"/>
      <c r="D207" s="141"/>
      <c r="E207" s="142"/>
      <c r="F207" s="141"/>
      <c r="G207" s="141"/>
      <c r="I207" s="7"/>
    </row>
    <row r="208" ht="15.75" customHeight="1">
      <c r="B208" s="141"/>
      <c r="C208" s="141"/>
      <c r="D208" s="141"/>
      <c r="E208" s="142"/>
      <c r="F208" s="141"/>
      <c r="G208" s="141"/>
      <c r="I208" s="7"/>
    </row>
    <row r="209" ht="15.75" customHeight="1">
      <c r="B209" s="141"/>
      <c r="C209" s="141"/>
      <c r="D209" s="141"/>
      <c r="E209" s="142"/>
      <c r="F209" s="141"/>
      <c r="G209" s="141"/>
      <c r="I209" s="7"/>
    </row>
    <row r="210" ht="15.75" customHeight="1">
      <c r="B210" s="141"/>
      <c r="C210" s="141"/>
      <c r="D210" s="141"/>
      <c r="E210" s="142"/>
      <c r="F210" s="141"/>
      <c r="G210" s="141"/>
      <c r="I210" s="7"/>
    </row>
    <row r="211" ht="15.75" customHeight="1">
      <c r="B211" s="141"/>
      <c r="C211" s="141"/>
      <c r="D211" s="141"/>
      <c r="E211" s="142"/>
      <c r="F211" s="141"/>
      <c r="G211" s="141"/>
      <c r="I211" s="7"/>
    </row>
    <row r="212" ht="15.75" customHeight="1">
      <c r="B212" s="141"/>
      <c r="C212" s="141"/>
      <c r="D212" s="141"/>
      <c r="E212" s="142"/>
      <c r="F212" s="141"/>
      <c r="G212" s="141"/>
      <c r="I212" s="7"/>
    </row>
    <row r="213" ht="15.75" customHeight="1">
      <c r="B213" s="141"/>
      <c r="C213" s="141"/>
      <c r="D213" s="141"/>
      <c r="E213" s="142"/>
      <c r="F213" s="141"/>
      <c r="G213" s="141"/>
      <c r="I213" s="7"/>
    </row>
    <row r="214" ht="15.75" customHeight="1">
      <c r="B214" s="141"/>
      <c r="C214" s="141"/>
      <c r="D214" s="141"/>
      <c r="E214" s="142"/>
      <c r="F214" s="141"/>
      <c r="G214" s="141"/>
      <c r="I214" s="7"/>
    </row>
    <row r="215" ht="15.75" customHeight="1">
      <c r="B215" s="141"/>
      <c r="C215" s="141"/>
      <c r="D215" s="141"/>
      <c r="E215" s="142"/>
      <c r="F215" s="141"/>
      <c r="G215" s="141"/>
      <c r="I215" s="7"/>
    </row>
    <row r="216" ht="15.75" customHeight="1">
      <c r="B216" s="141"/>
      <c r="C216" s="141"/>
      <c r="D216" s="141"/>
      <c r="E216" s="142"/>
      <c r="F216" s="141"/>
      <c r="G216" s="141"/>
      <c r="I216" s="7"/>
    </row>
    <row r="217" ht="15.75" customHeight="1">
      <c r="B217" s="141"/>
      <c r="C217" s="141"/>
      <c r="D217" s="141"/>
      <c r="E217" s="142"/>
      <c r="F217" s="141"/>
      <c r="G217" s="141"/>
      <c r="I217" s="7"/>
    </row>
    <row r="218" ht="15.75" customHeight="1">
      <c r="B218" s="141"/>
      <c r="C218" s="141"/>
      <c r="D218" s="141"/>
      <c r="E218" s="142"/>
      <c r="F218" s="141"/>
      <c r="G218" s="141"/>
      <c r="I218" s="7"/>
    </row>
    <row r="219" ht="15.75" customHeight="1">
      <c r="B219" s="141"/>
      <c r="C219" s="141"/>
      <c r="D219" s="141"/>
      <c r="E219" s="142"/>
      <c r="F219" s="141"/>
      <c r="G219" s="141"/>
      <c r="I219" s="7"/>
    </row>
    <row r="220" ht="15.75" customHeight="1">
      <c r="B220" s="141"/>
      <c r="C220" s="141"/>
      <c r="D220" s="141"/>
      <c r="E220" s="142"/>
      <c r="F220" s="141"/>
      <c r="G220" s="141"/>
      <c r="I220" s="7"/>
    </row>
    <row r="221" ht="15.75" customHeight="1">
      <c r="B221" s="141"/>
      <c r="C221" s="141"/>
      <c r="D221" s="141"/>
      <c r="E221" s="142"/>
      <c r="F221" s="141"/>
      <c r="G221" s="141"/>
      <c r="I221" s="7"/>
    </row>
    <row r="222" ht="15.75" customHeight="1">
      <c r="B222" s="141"/>
      <c r="C222" s="141"/>
      <c r="D222" s="141"/>
      <c r="E222" s="142"/>
      <c r="F222" s="141"/>
      <c r="G222" s="141"/>
      <c r="I222" s="7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C5"/>
    <mergeCell ref="D1:H5"/>
  </mergeCells>
  <conditionalFormatting sqref="G8:G14">
    <cfRule type="containsText" dxfId="0" priority="1" operator="containsText" text="PENDIENTE">
      <formula>NOT(ISERROR(SEARCH(("PENDIENTE"),(G8))))</formula>
    </cfRule>
  </conditionalFormatting>
  <conditionalFormatting sqref="G8:G35">
    <cfRule type="containsText" dxfId="1" priority="2" operator="containsText" text="CANCELADO">
      <formula>NOT(ISERROR(SEARCH(("CANCELADO"),(G8))))</formula>
    </cfRule>
  </conditionalFormatting>
  <printOptions/>
  <pageMargins bottom="0.75" footer="0.0" header="0.0" left="0.7" right="0.7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1.86"/>
    <col customWidth="1" min="2" max="2" width="8.43"/>
    <col customWidth="1" min="3" max="3" width="17.71"/>
    <col customWidth="1" min="4" max="4" width="37.86"/>
    <col customWidth="1" min="5" max="5" width="10.0"/>
    <col customWidth="1" hidden="1" min="6" max="7" width="8.57"/>
    <col customWidth="1" min="8" max="19" width="8.57"/>
  </cols>
  <sheetData>
    <row r="1" ht="14.25" customHeight="1">
      <c r="A1" s="166"/>
      <c r="B1" s="167" t="s">
        <v>244</v>
      </c>
      <c r="C1" s="168"/>
      <c r="D1" s="168"/>
      <c r="E1" s="169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70"/>
    </row>
    <row r="2" ht="14.25" customHeight="1">
      <c r="B2" s="171"/>
      <c r="C2" s="172"/>
      <c r="D2" s="172"/>
      <c r="E2" s="173"/>
      <c r="F2" s="101">
        <v>2022.0</v>
      </c>
      <c r="H2" s="174">
        <v>2026.0</v>
      </c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6"/>
      <c r="T2" s="70"/>
    </row>
    <row r="3" ht="15.75" customHeight="1">
      <c r="A3" s="75"/>
      <c r="B3" s="177" t="s">
        <v>247</v>
      </c>
      <c r="C3" s="178" t="s">
        <v>248</v>
      </c>
      <c r="D3" s="178" t="s">
        <v>249</v>
      </c>
      <c r="E3" s="178" t="s">
        <v>250</v>
      </c>
      <c r="F3" s="179" t="s">
        <v>251</v>
      </c>
      <c r="G3" s="179" t="s">
        <v>252</v>
      </c>
      <c r="H3" s="179" t="s">
        <v>253</v>
      </c>
      <c r="I3" s="179" t="s">
        <v>254</v>
      </c>
      <c r="J3" s="179" t="s">
        <v>255</v>
      </c>
      <c r="K3" s="179" t="s">
        <v>256</v>
      </c>
      <c r="L3" s="179" t="s">
        <v>257</v>
      </c>
      <c r="M3" s="179" t="s">
        <v>258</v>
      </c>
      <c r="N3" s="179" t="s">
        <v>259</v>
      </c>
      <c r="O3" s="179" t="s">
        <v>260</v>
      </c>
      <c r="P3" s="179" t="s">
        <v>261</v>
      </c>
      <c r="Q3" s="179" t="s">
        <v>262</v>
      </c>
      <c r="R3" s="179" t="s">
        <v>251</v>
      </c>
      <c r="S3" s="179" t="s">
        <v>252</v>
      </c>
      <c r="T3" s="70"/>
      <c r="U3" s="75"/>
      <c r="V3" s="75"/>
      <c r="W3" s="75"/>
      <c r="X3" s="75"/>
      <c r="Y3" s="75"/>
      <c r="Z3" s="75"/>
    </row>
    <row r="4" ht="15.75" customHeight="1">
      <c r="A4" s="75"/>
      <c r="B4" s="67">
        <v>1.0</v>
      </c>
      <c r="C4" s="180" t="s">
        <v>263</v>
      </c>
      <c r="D4" s="181" t="s">
        <v>266</v>
      </c>
      <c r="E4" s="182">
        <v>4385.0</v>
      </c>
      <c r="F4" s="183"/>
      <c r="G4" s="183"/>
      <c r="H4" s="184">
        <v>4385.0</v>
      </c>
      <c r="I4" s="184">
        <v>4385.0</v>
      </c>
      <c r="J4" s="184">
        <v>4385.0</v>
      </c>
      <c r="K4" s="184">
        <v>4385.0</v>
      </c>
      <c r="L4" s="184">
        <v>4385.0</v>
      </c>
      <c r="M4" s="184">
        <v>4385.0</v>
      </c>
      <c r="N4" s="185">
        <v>4385.0</v>
      </c>
      <c r="O4" s="185">
        <v>4385.0</v>
      </c>
      <c r="P4" s="185">
        <v>4385.0</v>
      </c>
      <c r="Q4" s="185">
        <v>4385.0</v>
      </c>
      <c r="R4" s="185">
        <v>4385.0</v>
      </c>
      <c r="S4" s="185">
        <v>4385.0</v>
      </c>
      <c r="T4" s="109"/>
      <c r="U4" s="75"/>
      <c r="V4" s="75"/>
      <c r="W4" s="75"/>
      <c r="X4" s="75"/>
      <c r="Y4" s="75"/>
      <c r="Z4" s="75"/>
    </row>
    <row r="5" ht="15.75" customHeight="1">
      <c r="A5" s="75"/>
      <c r="B5" s="186">
        <v>4.0</v>
      </c>
      <c r="C5" s="180" t="s">
        <v>270</v>
      </c>
      <c r="D5" s="187" t="s">
        <v>271</v>
      </c>
      <c r="E5" s="188"/>
      <c r="F5" s="189">
        <v>1304.4</v>
      </c>
      <c r="G5" s="189">
        <v>1385.7</v>
      </c>
      <c r="H5" s="184">
        <v>352.0</v>
      </c>
      <c r="I5" s="184">
        <v>310.0</v>
      </c>
      <c r="J5" s="184">
        <v>1225.2</v>
      </c>
      <c r="K5" s="184">
        <v>782.89</v>
      </c>
      <c r="L5" s="184">
        <v>874.4</v>
      </c>
      <c r="M5" s="184">
        <v>828.1</v>
      </c>
      <c r="N5" s="185">
        <v>962.5</v>
      </c>
      <c r="O5" s="185"/>
      <c r="P5" s="185"/>
      <c r="Q5" s="185"/>
      <c r="R5" s="185"/>
      <c r="S5" s="185"/>
      <c r="T5" s="109"/>
      <c r="U5" s="75"/>
      <c r="V5" s="75"/>
      <c r="W5" s="75"/>
      <c r="X5" s="75"/>
      <c r="Y5" s="75"/>
      <c r="Z5" s="75"/>
    </row>
    <row r="6" ht="15.75" customHeight="1">
      <c r="A6" s="75"/>
      <c r="B6" s="67">
        <v>4.0</v>
      </c>
      <c r="C6" s="187" t="s">
        <v>270</v>
      </c>
      <c r="D6" s="187" t="s">
        <v>276</v>
      </c>
      <c r="E6" s="188"/>
      <c r="F6" s="189"/>
      <c r="G6" s="189"/>
      <c r="H6" s="184">
        <v>5.2</v>
      </c>
      <c r="I6" s="184">
        <v>342.2</v>
      </c>
      <c r="J6" s="184">
        <v>259.9</v>
      </c>
      <c r="K6" s="184">
        <v>226.36</v>
      </c>
      <c r="L6" s="184">
        <v>212.1</v>
      </c>
      <c r="M6" s="184">
        <v>217.39</v>
      </c>
      <c r="N6" s="185">
        <v>235.34</v>
      </c>
      <c r="O6" s="185"/>
      <c r="P6" s="185"/>
      <c r="Q6" s="185"/>
      <c r="R6" s="185"/>
      <c r="S6" s="185"/>
      <c r="T6" s="70"/>
      <c r="U6" s="75"/>
      <c r="V6" s="75"/>
      <c r="W6" s="75"/>
      <c r="X6" s="75"/>
      <c r="Y6" s="75"/>
      <c r="Z6" s="75"/>
    </row>
    <row r="7" ht="15.75" customHeight="1">
      <c r="A7" s="75"/>
      <c r="B7" s="186">
        <v>4.0</v>
      </c>
      <c r="C7" s="180" t="s">
        <v>270</v>
      </c>
      <c r="D7" s="187" t="s">
        <v>278</v>
      </c>
      <c r="E7" s="188"/>
      <c r="F7" s="190">
        <v>154.5</v>
      </c>
      <c r="G7" s="189">
        <v>184.15</v>
      </c>
      <c r="H7" s="184">
        <v>579.97</v>
      </c>
      <c r="I7" s="184">
        <v>569.1</v>
      </c>
      <c r="J7" s="184">
        <v>614.7</v>
      </c>
      <c r="K7" s="184">
        <v>588.1</v>
      </c>
      <c r="L7" s="184">
        <v>589.5</v>
      </c>
      <c r="M7" s="184">
        <v>671.9</v>
      </c>
      <c r="N7" s="185">
        <v>694.53</v>
      </c>
      <c r="O7" s="185"/>
      <c r="P7" s="185"/>
      <c r="Q7" s="185"/>
      <c r="R7" s="185"/>
      <c r="S7" s="185"/>
      <c r="T7" s="109"/>
      <c r="U7" s="75"/>
      <c r="V7" s="75"/>
      <c r="W7" s="75"/>
      <c r="X7" s="75"/>
      <c r="Y7" s="75"/>
      <c r="Z7" s="75"/>
    </row>
    <row r="8" ht="15.75" customHeight="1">
      <c r="A8" s="75"/>
      <c r="B8" s="186">
        <v>4.0</v>
      </c>
      <c r="C8" s="180" t="s">
        <v>270</v>
      </c>
      <c r="D8" s="187" t="s">
        <v>281</v>
      </c>
      <c r="E8" s="188"/>
      <c r="F8" s="189">
        <v>1304.4</v>
      </c>
      <c r="G8" s="189">
        <v>1385.7</v>
      </c>
      <c r="H8" s="184">
        <v>818.0</v>
      </c>
      <c r="I8" s="184">
        <v>803.0</v>
      </c>
      <c r="J8" s="184">
        <v>787.7</v>
      </c>
      <c r="K8" s="184">
        <v>714.4</v>
      </c>
      <c r="L8" s="184">
        <v>681.04</v>
      </c>
      <c r="M8" s="184">
        <v>809.0</v>
      </c>
      <c r="N8" s="185">
        <v>951.82</v>
      </c>
      <c r="O8" s="185"/>
      <c r="P8" s="185"/>
      <c r="Q8" s="185"/>
      <c r="R8" s="185"/>
      <c r="S8" s="185"/>
      <c r="T8" s="109"/>
      <c r="U8" s="75"/>
      <c r="V8" s="75"/>
      <c r="W8" s="75"/>
      <c r="X8" s="75"/>
      <c r="Y8" s="75"/>
      <c r="Z8" s="75"/>
    </row>
    <row r="9" ht="15.75" customHeight="1">
      <c r="A9" s="75"/>
      <c r="B9" s="67">
        <v>4.0</v>
      </c>
      <c r="C9" s="187" t="s">
        <v>270</v>
      </c>
      <c r="D9" s="187" t="s">
        <v>283</v>
      </c>
      <c r="E9" s="188"/>
      <c r="F9" s="183"/>
      <c r="G9" s="191"/>
      <c r="H9" s="192"/>
      <c r="I9" s="184">
        <v>5.4</v>
      </c>
      <c r="J9" s="184">
        <v>57.2</v>
      </c>
      <c r="K9" s="184">
        <v>214.8</v>
      </c>
      <c r="L9" s="184">
        <v>623.9</v>
      </c>
      <c r="M9" s="184">
        <v>534.5</v>
      </c>
      <c r="N9" s="185">
        <v>589.12</v>
      </c>
      <c r="O9" s="185"/>
      <c r="P9" s="185"/>
      <c r="Q9" s="185"/>
      <c r="R9" s="185"/>
      <c r="S9" s="185"/>
      <c r="T9" s="109"/>
      <c r="U9" s="75"/>
      <c r="V9" s="75"/>
      <c r="W9" s="75"/>
      <c r="X9" s="75"/>
      <c r="Y9" s="75"/>
      <c r="Z9" s="75"/>
    </row>
    <row r="10" ht="15.75" customHeight="1">
      <c r="A10" s="75"/>
      <c r="B10" s="67">
        <v>4.0</v>
      </c>
      <c r="C10" s="187" t="s">
        <v>270</v>
      </c>
      <c r="D10" s="187" t="s">
        <v>288</v>
      </c>
      <c r="E10" s="188"/>
      <c r="F10" s="183"/>
      <c r="G10" s="191"/>
      <c r="H10" s="184">
        <v>14.3</v>
      </c>
      <c r="I10" s="184">
        <v>49.6</v>
      </c>
      <c r="J10" s="184">
        <v>37.4</v>
      </c>
      <c r="K10" s="184">
        <v>42.9</v>
      </c>
      <c r="L10" s="184">
        <v>4.5</v>
      </c>
      <c r="M10" s="184">
        <v>79.35</v>
      </c>
      <c r="N10" s="185">
        <v>112.1</v>
      </c>
      <c r="O10" s="185"/>
      <c r="P10" s="185"/>
      <c r="Q10" s="185"/>
      <c r="R10" s="185"/>
      <c r="S10" s="185"/>
      <c r="T10" s="193">
        <v>46388.0</v>
      </c>
      <c r="U10" s="75"/>
      <c r="V10" s="75"/>
      <c r="W10" s="75"/>
      <c r="X10" s="75"/>
      <c r="Y10" s="75"/>
      <c r="Z10" s="75"/>
    </row>
    <row r="11" ht="15.75" customHeight="1">
      <c r="A11" s="75"/>
      <c r="B11" s="67">
        <v>9.0</v>
      </c>
      <c r="C11" s="187" t="s">
        <v>292</v>
      </c>
      <c r="D11" s="187" t="s">
        <v>293</v>
      </c>
      <c r="E11" s="188"/>
      <c r="F11" s="183"/>
      <c r="G11" s="191"/>
      <c r="H11" s="194"/>
      <c r="I11" s="192"/>
      <c r="J11" s="192"/>
      <c r="K11" s="192"/>
      <c r="L11" s="192"/>
      <c r="M11" s="195"/>
      <c r="N11" s="184">
        <v>17445.48</v>
      </c>
      <c r="O11" s="192">
        <v>2250.0</v>
      </c>
      <c r="P11" s="192">
        <v>2250.0</v>
      </c>
      <c r="Q11" s="192">
        <v>2250.0</v>
      </c>
      <c r="R11" s="192">
        <v>2250.0</v>
      </c>
      <c r="S11" s="192">
        <v>2250.0</v>
      </c>
      <c r="T11" s="108">
        <v>1555.69</v>
      </c>
      <c r="U11" s="75"/>
      <c r="V11" s="75"/>
      <c r="W11" s="75"/>
      <c r="X11" s="75"/>
      <c r="Y11" s="75"/>
      <c r="Z11" s="75"/>
    </row>
    <row r="12" ht="15.75" customHeight="1">
      <c r="A12" s="75"/>
      <c r="B12" s="186">
        <v>10.0</v>
      </c>
      <c r="C12" s="180" t="s">
        <v>297</v>
      </c>
      <c r="D12" s="180" t="s">
        <v>298</v>
      </c>
      <c r="E12" s="188">
        <v>141.0</v>
      </c>
      <c r="F12" s="183"/>
      <c r="G12" s="190">
        <v>94.4</v>
      </c>
      <c r="H12" s="189">
        <v>141.0</v>
      </c>
      <c r="I12" s="184">
        <v>141.0</v>
      </c>
      <c r="J12" s="184">
        <v>141.0</v>
      </c>
      <c r="K12" s="184">
        <v>141.0</v>
      </c>
      <c r="L12" s="184">
        <v>141.0</v>
      </c>
      <c r="M12" s="184">
        <v>141.0</v>
      </c>
      <c r="N12" s="185">
        <v>141.0</v>
      </c>
      <c r="O12" s="185">
        <v>141.0</v>
      </c>
      <c r="P12" s="185">
        <v>141.0</v>
      </c>
      <c r="Q12" s="185">
        <v>141.0</v>
      </c>
      <c r="R12" s="185">
        <v>141.0</v>
      </c>
      <c r="S12" s="185">
        <v>141.0</v>
      </c>
      <c r="T12" s="108"/>
      <c r="U12" s="75"/>
      <c r="V12" s="75"/>
      <c r="W12" s="75"/>
      <c r="X12" s="75"/>
      <c r="Y12" s="75"/>
      <c r="Z12" s="75"/>
    </row>
    <row r="13" ht="15.75" customHeight="1">
      <c r="A13" s="75"/>
      <c r="B13" s="67">
        <v>15.0</v>
      </c>
      <c r="C13" s="180" t="s">
        <v>263</v>
      </c>
      <c r="D13" s="181" t="s">
        <v>300</v>
      </c>
      <c r="E13" s="188">
        <v>5500.0</v>
      </c>
      <c r="F13" s="183"/>
      <c r="G13" s="183"/>
      <c r="H13" s="192"/>
      <c r="I13" s="192"/>
      <c r="J13" s="192"/>
      <c r="K13" s="184">
        <v>5500.0</v>
      </c>
      <c r="L13" s="184">
        <v>5500.0</v>
      </c>
      <c r="M13" s="184">
        <v>5500.0</v>
      </c>
      <c r="N13" s="184">
        <v>5500.0</v>
      </c>
      <c r="O13" s="184">
        <v>5500.0</v>
      </c>
      <c r="P13" s="185">
        <v>5500.0</v>
      </c>
      <c r="Q13" s="185">
        <v>5500.0</v>
      </c>
      <c r="R13" s="185">
        <v>5500.0</v>
      </c>
      <c r="S13" s="185">
        <v>5500.0</v>
      </c>
      <c r="T13" s="108"/>
      <c r="U13" s="75"/>
      <c r="V13" s="75"/>
      <c r="W13" s="75"/>
      <c r="X13" s="75"/>
      <c r="Y13" s="75"/>
      <c r="Z13" s="75"/>
    </row>
    <row r="14" ht="15.75" customHeight="1">
      <c r="A14" s="75"/>
      <c r="B14" s="186">
        <v>15.0</v>
      </c>
      <c r="C14" s="180" t="s">
        <v>302</v>
      </c>
      <c r="D14" s="187" t="s">
        <v>303</v>
      </c>
      <c r="E14" s="188"/>
      <c r="F14" s="183"/>
      <c r="G14" s="190"/>
      <c r="H14" s="184">
        <v>55.9</v>
      </c>
      <c r="I14" s="184">
        <v>55.9</v>
      </c>
      <c r="J14" s="184">
        <v>55.9</v>
      </c>
      <c r="K14" s="184">
        <v>55.9</v>
      </c>
      <c r="L14" s="184">
        <v>55.9</v>
      </c>
      <c r="M14" s="184">
        <v>55.9</v>
      </c>
      <c r="N14" s="184">
        <v>55.9</v>
      </c>
      <c r="O14" s="185">
        <v>55.9</v>
      </c>
      <c r="P14" s="185">
        <v>55.9</v>
      </c>
      <c r="Q14" s="185">
        <v>55.9</v>
      </c>
      <c r="R14" s="185">
        <v>55.9</v>
      </c>
      <c r="S14" s="185">
        <v>55.9</v>
      </c>
      <c r="T14" s="70"/>
      <c r="U14" s="75"/>
      <c r="V14" s="75"/>
      <c r="W14" s="75"/>
      <c r="X14" s="75"/>
      <c r="Y14" s="75"/>
      <c r="Z14" s="75"/>
    </row>
    <row r="15" ht="15.75" customHeight="1">
      <c r="A15" s="75"/>
      <c r="B15" s="186">
        <v>15.0</v>
      </c>
      <c r="C15" s="180" t="s">
        <v>302</v>
      </c>
      <c r="D15" s="187" t="s">
        <v>306</v>
      </c>
      <c r="E15" s="188"/>
      <c r="F15" s="183"/>
      <c r="G15" s="190"/>
      <c r="H15" s="184">
        <v>223.59</v>
      </c>
      <c r="I15" s="184">
        <v>223.59</v>
      </c>
      <c r="J15" s="184">
        <v>223.59</v>
      </c>
      <c r="K15" s="184">
        <v>223.59</v>
      </c>
      <c r="L15" s="184">
        <v>142.95</v>
      </c>
      <c r="M15" s="184">
        <v>145.56</v>
      </c>
      <c r="N15" s="184">
        <v>145.56</v>
      </c>
      <c r="O15" s="185">
        <v>223.59</v>
      </c>
      <c r="P15" s="185">
        <v>223.59</v>
      </c>
      <c r="Q15" s="185">
        <v>223.59</v>
      </c>
      <c r="R15" s="185">
        <v>223.59</v>
      </c>
      <c r="S15" s="185">
        <v>223.59</v>
      </c>
      <c r="T15" s="70"/>
      <c r="U15" s="75"/>
      <c r="V15" s="75"/>
      <c r="W15" s="75"/>
      <c r="X15" s="75"/>
      <c r="Y15" s="75"/>
      <c r="Z15" s="75"/>
    </row>
    <row r="16" ht="15.75" customHeight="1">
      <c r="A16" s="75"/>
      <c r="B16" s="186">
        <v>15.0</v>
      </c>
      <c r="C16" s="180" t="s">
        <v>302</v>
      </c>
      <c r="D16" s="187" t="s">
        <v>309</v>
      </c>
      <c r="E16" s="188"/>
      <c r="F16" s="183"/>
      <c r="G16" s="190"/>
      <c r="H16" s="184">
        <v>25.16</v>
      </c>
      <c r="I16" s="184">
        <v>25.16</v>
      </c>
      <c r="J16" s="184">
        <v>25.16</v>
      </c>
      <c r="K16" s="184">
        <v>25.16</v>
      </c>
      <c r="L16" s="184">
        <v>25.16</v>
      </c>
      <c r="M16" s="184">
        <v>25.16</v>
      </c>
      <c r="N16" s="184">
        <v>25.16</v>
      </c>
      <c r="O16" s="185">
        <v>25.16</v>
      </c>
      <c r="P16" s="185">
        <v>25.16</v>
      </c>
      <c r="Q16" s="185">
        <v>25.16</v>
      </c>
      <c r="R16" s="185">
        <v>25.16</v>
      </c>
      <c r="S16" s="185">
        <v>25.16</v>
      </c>
      <c r="T16" s="70"/>
      <c r="U16" s="75"/>
      <c r="V16" s="75"/>
      <c r="W16" s="75"/>
      <c r="X16" s="75"/>
      <c r="Y16" s="75"/>
      <c r="Z16" s="75"/>
    </row>
    <row r="17" ht="15.75" customHeight="1">
      <c r="A17" s="75"/>
      <c r="B17" s="186">
        <v>15.0</v>
      </c>
      <c r="C17" s="180" t="s">
        <v>302</v>
      </c>
      <c r="D17" s="187" t="s">
        <v>312</v>
      </c>
      <c r="E17" s="188"/>
      <c r="F17" s="183"/>
      <c r="G17" s="190"/>
      <c r="H17" s="184">
        <v>562.77</v>
      </c>
      <c r="I17" s="184">
        <v>562.77</v>
      </c>
      <c r="J17" s="184">
        <v>562.77</v>
      </c>
      <c r="K17" s="184">
        <v>562.77</v>
      </c>
      <c r="L17" s="184">
        <v>512.28</v>
      </c>
      <c r="M17" s="184">
        <v>512.28</v>
      </c>
      <c r="N17" s="184">
        <v>512.28</v>
      </c>
      <c r="O17" s="185">
        <v>562.77</v>
      </c>
      <c r="P17" s="185">
        <v>562.77</v>
      </c>
      <c r="Q17" s="185">
        <v>562.77</v>
      </c>
      <c r="R17" s="185">
        <v>562.77</v>
      </c>
      <c r="S17" s="185">
        <v>562.77</v>
      </c>
      <c r="T17" s="70"/>
      <c r="U17" s="75"/>
      <c r="V17" s="75"/>
      <c r="W17" s="75"/>
      <c r="X17" s="75"/>
      <c r="Y17" s="75"/>
      <c r="Z17" s="75"/>
    </row>
    <row r="18" ht="15.75" customHeight="1">
      <c r="A18" s="75"/>
      <c r="B18" s="186">
        <v>20.0</v>
      </c>
      <c r="C18" s="180" t="s">
        <v>314</v>
      </c>
      <c r="D18" s="180" t="s">
        <v>315</v>
      </c>
      <c r="E18" s="188"/>
      <c r="F18" s="183"/>
      <c r="G18" s="183"/>
      <c r="H18" s="184">
        <v>96.7</v>
      </c>
      <c r="I18" s="184">
        <v>99.8</v>
      </c>
      <c r="J18" s="184">
        <v>98.9</v>
      </c>
      <c r="K18" s="185">
        <v>110.9</v>
      </c>
      <c r="L18" s="185">
        <v>123.5</v>
      </c>
      <c r="M18" s="185">
        <v>133.85</v>
      </c>
      <c r="N18" s="185">
        <v>138.45</v>
      </c>
      <c r="O18" s="185"/>
      <c r="P18" s="185"/>
      <c r="Q18" s="196"/>
      <c r="R18" s="196"/>
      <c r="S18" s="196"/>
      <c r="T18" s="109"/>
      <c r="U18" s="75"/>
      <c r="V18" s="75"/>
      <c r="W18" s="75"/>
      <c r="X18" s="75"/>
      <c r="Y18" s="75"/>
      <c r="Z18" s="75"/>
    </row>
    <row r="19" ht="15.75" customHeight="1">
      <c r="A19" s="75"/>
      <c r="B19" s="186">
        <v>20.0</v>
      </c>
      <c r="C19" s="180" t="s">
        <v>314</v>
      </c>
      <c r="D19" s="187" t="s">
        <v>318</v>
      </c>
      <c r="E19" s="188"/>
      <c r="F19" s="183"/>
      <c r="G19" s="183"/>
      <c r="H19" s="192"/>
      <c r="I19" s="192"/>
      <c r="J19" s="192"/>
      <c r="K19" s="192"/>
      <c r="L19" s="192"/>
      <c r="M19" s="192"/>
      <c r="N19" s="192"/>
      <c r="O19" s="192"/>
      <c r="P19" s="185"/>
      <c r="Q19" s="185"/>
      <c r="R19" s="185"/>
      <c r="S19" s="185"/>
      <c r="T19" s="70"/>
      <c r="U19" s="75"/>
      <c r="V19" s="75"/>
      <c r="W19" s="75"/>
      <c r="X19" s="75"/>
      <c r="Y19" s="75"/>
      <c r="Z19" s="75"/>
    </row>
    <row r="20" ht="15.75" customHeight="1">
      <c r="A20" s="75"/>
      <c r="B20" s="186">
        <v>20.0</v>
      </c>
      <c r="C20" s="180" t="s">
        <v>314</v>
      </c>
      <c r="D20" s="180" t="s">
        <v>321</v>
      </c>
      <c r="E20" s="188"/>
      <c r="F20" s="183"/>
      <c r="G20" s="183"/>
      <c r="H20" s="184">
        <v>83.9</v>
      </c>
      <c r="I20" s="184">
        <v>144.0</v>
      </c>
      <c r="J20" s="184">
        <v>99.7</v>
      </c>
      <c r="K20" s="184">
        <v>100.5</v>
      </c>
      <c r="L20" s="184">
        <v>70.0</v>
      </c>
      <c r="M20" s="184">
        <v>54.5</v>
      </c>
      <c r="N20" s="185">
        <v>54.2</v>
      </c>
      <c r="O20" s="185">
        <v>53.6</v>
      </c>
      <c r="P20" s="185"/>
      <c r="Q20" s="185"/>
      <c r="R20" s="185"/>
      <c r="S20" s="185"/>
      <c r="T20" s="70"/>
      <c r="U20" s="75"/>
      <c r="V20" s="75"/>
      <c r="W20" s="75"/>
      <c r="X20" s="75"/>
      <c r="Y20" s="75"/>
      <c r="Z20" s="75"/>
    </row>
    <row r="21" ht="15.75" customHeight="1">
      <c r="A21" s="75"/>
      <c r="B21" s="67">
        <v>20.0</v>
      </c>
      <c r="C21" s="187" t="s">
        <v>314</v>
      </c>
      <c r="D21" s="181" t="s">
        <v>323</v>
      </c>
      <c r="E21" s="188"/>
      <c r="F21" s="183"/>
      <c r="G21" s="183"/>
      <c r="H21" s="192"/>
      <c r="I21" s="192"/>
      <c r="J21" s="184">
        <v>51.2</v>
      </c>
      <c r="K21" s="184">
        <v>38.2</v>
      </c>
      <c r="L21" s="184">
        <v>38.6</v>
      </c>
      <c r="M21" s="184">
        <v>23.2</v>
      </c>
      <c r="N21" s="185">
        <v>53.8</v>
      </c>
      <c r="O21" s="185">
        <v>53.6</v>
      </c>
      <c r="P21" s="185"/>
      <c r="Q21" s="185"/>
      <c r="R21" s="185"/>
      <c r="S21" s="185"/>
      <c r="T21" s="109"/>
      <c r="U21" s="75"/>
      <c r="V21" s="75"/>
      <c r="W21" s="75"/>
      <c r="X21" s="75"/>
      <c r="Y21" s="75"/>
      <c r="Z21" s="75"/>
    </row>
    <row r="22" ht="15.75" customHeight="1">
      <c r="A22" s="75"/>
      <c r="B22" s="67">
        <v>20.0</v>
      </c>
      <c r="C22" s="187" t="s">
        <v>314</v>
      </c>
      <c r="D22" s="181" t="s">
        <v>327</v>
      </c>
      <c r="E22" s="197"/>
      <c r="F22" s="183"/>
      <c r="G22" s="183"/>
      <c r="H22" s="184">
        <v>479.4</v>
      </c>
      <c r="I22" s="184">
        <v>314.9</v>
      </c>
      <c r="J22" s="184">
        <v>191.9</v>
      </c>
      <c r="K22" s="184">
        <v>22.9</v>
      </c>
      <c r="L22" s="184">
        <v>42.6</v>
      </c>
      <c r="M22" s="184">
        <v>38.3</v>
      </c>
      <c r="N22" s="185" t="s">
        <v>330</v>
      </c>
      <c r="O22" s="185">
        <v>99.3</v>
      </c>
      <c r="P22" s="185"/>
      <c r="Q22" s="185"/>
      <c r="R22" s="185"/>
      <c r="S22" s="185"/>
      <c r="T22" s="109"/>
      <c r="U22" s="75"/>
      <c r="V22" s="75"/>
      <c r="W22" s="75"/>
      <c r="X22" s="75"/>
      <c r="Y22" s="75"/>
      <c r="Z22" s="75"/>
    </row>
    <row r="23" ht="15.75" customHeight="1">
      <c r="A23" s="75"/>
      <c r="B23" s="67">
        <v>27.0</v>
      </c>
      <c r="C23" s="187" t="s">
        <v>333</v>
      </c>
      <c r="D23" s="181" t="s">
        <v>334</v>
      </c>
      <c r="E23" s="188">
        <v>250.0</v>
      </c>
      <c r="F23" s="183"/>
      <c r="G23" s="183"/>
      <c r="H23" s="192"/>
      <c r="I23" s="192"/>
      <c r="J23" s="184">
        <v>750.0</v>
      </c>
      <c r="K23" s="184">
        <v>250.0</v>
      </c>
      <c r="L23" s="184">
        <v>250.0</v>
      </c>
      <c r="M23" s="184">
        <v>250.0</v>
      </c>
      <c r="N23" s="184">
        <v>250.0</v>
      </c>
      <c r="O23" s="185">
        <v>250.0</v>
      </c>
      <c r="P23" s="185">
        <v>250.0</v>
      </c>
      <c r="Q23" s="185">
        <v>250.0</v>
      </c>
      <c r="R23" s="185">
        <v>250.0</v>
      </c>
      <c r="S23" s="192"/>
      <c r="T23" s="109"/>
      <c r="U23" s="75"/>
      <c r="V23" s="75"/>
      <c r="W23" s="75"/>
      <c r="X23" s="75"/>
      <c r="Y23" s="75"/>
      <c r="Z23" s="75"/>
    </row>
    <row r="24" ht="15.75" customHeight="1">
      <c r="A24" s="75"/>
      <c r="B24" s="186">
        <v>30.0</v>
      </c>
      <c r="C24" s="180" t="s">
        <v>297</v>
      </c>
      <c r="D24" s="187" t="s">
        <v>337</v>
      </c>
      <c r="E24" s="188">
        <v>259.9</v>
      </c>
      <c r="F24" s="183"/>
      <c r="G24" s="183"/>
      <c r="H24" s="194"/>
      <c r="I24" s="192"/>
      <c r="J24" s="192"/>
      <c r="K24" s="192"/>
      <c r="L24" s="192"/>
      <c r="M24" s="192"/>
      <c r="N24" s="192"/>
      <c r="O24" s="192"/>
      <c r="P24" s="185"/>
      <c r="Q24" s="185"/>
      <c r="R24" s="185"/>
      <c r="S24" s="196"/>
      <c r="T24" s="70"/>
      <c r="U24" s="75"/>
      <c r="V24" s="75"/>
      <c r="W24" s="75"/>
      <c r="X24" s="75"/>
      <c r="Y24" s="75"/>
      <c r="Z24" s="75"/>
    </row>
    <row r="25" ht="15.75" customHeight="1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</row>
    <row r="26" ht="15.75" customHeight="1">
      <c r="B26" s="198" t="s">
        <v>343</v>
      </c>
      <c r="C26" s="168"/>
      <c r="D26" s="168"/>
      <c r="E26" s="169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70"/>
    </row>
    <row r="27" ht="15.75" customHeight="1">
      <c r="B27" s="171"/>
      <c r="C27" s="172"/>
      <c r="D27" s="172"/>
      <c r="E27" s="173"/>
      <c r="F27" s="101">
        <v>2022.0</v>
      </c>
      <c r="H27" s="174">
        <v>2026.0</v>
      </c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6"/>
      <c r="T27" s="70"/>
    </row>
    <row r="28" ht="15.75" customHeight="1">
      <c r="A28" s="75"/>
      <c r="B28" s="177" t="s">
        <v>247</v>
      </c>
      <c r="C28" s="178" t="s">
        <v>248</v>
      </c>
      <c r="D28" s="199" t="s">
        <v>249</v>
      </c>
      <c r="E28" s="178" t="s">
        <v>250</v>
      </c>
      <c r="F28" s="179" t="s">
        <v>251</v>
      </c>
      <c r="G28" s="179" t="s">
        <v>252</v>
      </c>
      <c r="H28" s="179" t="s">
        <v>253</v>
      </c>
      <c r="I28" s="179" t="s">
        <v>254</v>
      </c>
      <c r="J28" s="179" t="s">
        <v>255</v>
      </c>
      <c r="K28" s="179" t="s">
        <v>256</v>
      </c>
      <c r="L28" s="179" t="s">
        <v>257</v>
      </c>
      <c r="M28" s="179" t="s">
        <v>258</v>
      </c>
      <c r="N28" s="179" t="s">
        <v>259</v>
      </c>
      <c r="O28" s="179" t="s">
        <v>260</v>
      </c>
      <c r="P28" s="179" t="s">
        <v>261</v>
      </c>
      <c r="Q28" s="179" t="s">
        <v>262</v>
      </c>
      <c r="R28" s="179" t="s">
        <v>251</v>
      </c>
      <c r="S28" s="179" t="s">
        <v>252</v>
      </c>
      <c r="T28" s="70"/>
      <c r="U28" s="75"/>
      <c r="V28" s="75"/>
      <c r="W28" s="75"/>
      <c r="X28" s="75"/>
      <c r="Y28" s="75"/>
      <c r="Z28" s="75"/>
    </row>
    <row r="29" ht="15.75" customHeight="1">
      <c r="A29" s="75"/>
      <c r="B29" s="53"/>
      <c r="C29" s="53" t="s">
        <v>357</v>
      </c>
      <c r="D29" s="63" t="s">
        <v>358</v>
      </c>
      <c r="E29" s="200"/>
      <c r="F29" s="189">
        <v>154.5</v>
      </c>
      <c r="G29" s="189">
        <v>184.15</v>
      </c>
      <c r="H29" s="184">
        <v>212.0</v>
      </c>
      <c r="I29" s="184">
        <v>197.7</v>
      </c>
      <c r="J29" s="184">
        <v>216.0</v>
      </c>
      <c r="K29" s="184">
        <v>215.9</v>
      </c>
      <c r="L29" s="184">
        <v>267.4</v>
      </c>
      <c r="M29" s="184">
        <v>258.6</v>
      </c>
      <c r="N29" s="185">
        <v>283.3</v>
      </c>
      <c r="O29" s="185"/>
      <c r="P29" s="185"/>
      <c r="Q29" s="185"/>
      <c r="R29" s="185"/>
      <c r="S29" s="185"/>
      <c r="T29" s="70"/>
      <c r="U29" s="75"/>
      <c r="V29" s="75"/>
      <c r="W29" s="75"/>
      <c r="X29" s="75"/>
      <c r="Y29" s="75"/>
      <c r="Z29" s="75"/>
    </row>
    <row r="30" ht="15.75" customHeight="1">
      <c r="A30" s="75"/>
      <c r="B30" s="53"/>
      <c r="C30" s="63" t="s">
        <v>360</v>
      </c>
      <c r="D30" s="63" t="s">
        <v>361</v>
      </c>
      <c r="E30" s="201"/>
      <c r="F30" s="196"/>
      <c r="G30" s="196"/>
      <c r="H30" s="192"/>
      <c r="I30" s="192"/>
      <c r="J30" s="192"/>
      <c r="K30" s="192"/>
      <c r="L30" s="184">
        <v>139.1</v>
      </c>
      <c r="M30" s="184">
        <v>92.3</v>
      </c>
      <c r="N30" s="184">
        <v>78.5</v>
      </c>
      <c r="O30" s="185">
        <v>120.4</v>
      </c>
      <c r="P30" s="185"/>
      <c r="Q30" s="185"/>
      <c r="R30" s="185"/>
      <c r="S30" s="196"/>
      <c r="T30" s="70"/>
      <c r="U30" s="75"/>
      <c r="V30" s="75"/>
      <c r="W30" s="75"/>
      <c r="X30" s="75"/>
      <c r="Y30" s="75"/>
      <c r="Z30" s="75"/>
    </row>
    <row r="31" ht="15.75" customHeight="1">
      <c r="A31" s="75"/>
      <c r="B31" s="53"/>
      <c r="C31" s="63" t="s">
        <v>360</v>
      </c>
      <c r="D31" s="63" t="s">
        <v>364</v>
      </c>
      <c r="E31" s="201"/>
      <c r="F31" s="196"/>
      <c r="G31" s="196"/>
      <c r="H31" s="184">
        <v>257.3</v>
      </c>
      <c r="I31" s="192"/>
      <c r="J31" s="192"/>
      <c r="K31" s="192"/>
      <c r="L31" s="192"/>
      <c r="M31" s="192"/>
      <c r="N31" s="192"/>
      <c r="O31" s="185">
        <v>180.5</v>
      </c>
      <c r="P31" s="185"/>
      <c r="Q31" s="185"/>
      <c r="R31" s="185"/>
      <c r="S31" s="196"/>
      <c r="T31" s="70"/>
      <c r="U31" s="75"/>
      <c r="V31" s="75"/>
      <c r="W31" s="75"/>
      <c r="X31" s="75"/>
      <c r="Y31" s="75"/>
      <c r="Z31" s="75"/>
    </row>
    <row r="32" ht="15.75" customHeight="1">
      <c r="A32" s="75"/>
      <c r="B32" s="53"/>
      <c r="C32" s="53" t="s">
        <v>297</v>
      </c>
      <c r="D32" s="63" t="s">
        <v>367</v>
      </c>
      <c r="E32" s="200"/>
      <c r="F32" s="196"/>
      <c r="G32" s="196"/>
      <c r="H32" s="184">
        <v>103.58</v>
      </c>
      <c r="I32" s="184">
        <v>91.93</v>
      </c>
      <c r="J32" s="184">
        <v>97.19</v>
      </c>
      <c r="K32" s="184">
        <v>103.58</v>
      </c>
      <c r="L32" s="184">
        <v>103.58</v>
      </c>
      <c r="M32" s="184">
        <v>103.58</v>
      </c>
      <c r="N32" s="184">
        <v>97.19</v>
      </c>
      <c r="O32" s="185"/>
      <c r="P32" s="185"/>
      <c r="Q32" s="185"/>
      <c r="R32" s="185"/>
      <c r="S32" s="196"/>
      <c r="T32" s="70"/>
      <c r="U32" s="75"/>
      <c r="V32" s="75"/>
      <c r="W32" s="75"/>
      <c r="X32" s="75"/>
      <c r="Y32" s="75"/>
      <c r="Z32" s="75"/>
    </row>
    <row r="33" ht="15.75" customHeight="1">
      <c r="A33" s="75"/>
      <c r="B33" s="53"/>
      <c r="C33" s="53" t="s">
        <v>370</v>
      </c>
      <c r="D33" s="63" t="s">
        <v>371</v>
      </c>
      <c r="E33" s="201">
        <v>680.0</v>
      </c>
      <c r="F33" s="196"/>
      <c r="G33" s="196"/>
      <c r="H33" s="192"/>
      <c r="I33" s="192"/>
      <c r="J33" s="184">
        <v>680.0</v>
      </c>
      <c r="K33" s="184">
        <v>719.0</v>
      </c>
      <c r="L33" s="185"/>
      <c r="M33" s="185"/>
      <c r="N33" s="185"/>
      <c r="O33" s="185"/>
      <c r="P33" s="185"/>
      <c r="Q33" s="185"/>
      <c r="R33" s="185"/>
      <c r="S33" s="196"/>
      <c r="T33" s="70"/>
      <c r="U33" s="75"/>
      <c r="V33" s="75"/>
      <c r="W33" s="75"/>
      <c r="X33" s="75"/>
      <c r="Y33" s="75"/>
      <c r="Z33" s="75"/>
    </row>
    <row r="34" ht="15.75" customHeight="1">
      <c r="A34" s="75"/>
      <c r="B34" s="53"/>
      <c r="C34" s="63" t="s">
        <v>373</v>
      </c>
      <c r="D34" s="63" t="s">
        <v>374</v>
      </c>
      <c r="E34" s="201">
        <v>290.0</v>
      </c>
      <c r="F34" s="196"/>
      <c r="G34" s="196"/>
      <c r="H34" s="192"/>
      <c r="I34" s="192"/>
      <c r="J34" s="184">
        <v>293.0</v>
      </c>
      <c r="K34" s="185"/>
      <c r="L34" s="185"/>
      <c r="M34" s="185"/>
      <c r="N34" s="185"/>
      <c r="O34" s="185"/>
      <c r="P34" s="185"/>
      <c r="Q34" s="185"/>
      <c r="R34" s="185"/>
      <c r="S34" s="196"/>
      <c r="T34" s="70"/>
      <c r="U34" s="75"/>
      <c r="V34" s="75"/>
      <c r="W34" s="75"/>
      <c r="X34" s="75"/>
      <c r="Y34" s="75"/>
      <c r="Z34" s="75"/>
    </row>
    <row r="35" ht="15.75" customHeight="1">
      <c r="A35" s="75"/>
      <c r="B35" s="53"/>
      <c r="C35" s="63" t="s">
        <v>375</v>
      </c>
      <c r="D35" s="63" t="s">
        <v>376</v>
      </c>
      <c r="E35" s="201"/>
      <c r="F35" s="196"/>
      <c r="G35" s="196"/>
      <c r="H35" s="192"/>
      <c r="I35" s="192"/>
      <c r="J35" s="192"/>
      <c r="K35" s="192"/>
      <c r="L35" s="192"/>
      <c r="M35" s="192"/>
      <c r="N35" s="192"/>
      <c r="O35" s="184">
        <f>210+842.6</f>
        <v>1052.6</v>
      </c>
      <c r="P35" s="185">
        <v>842.6</v>
      </c>
      <c r="Q35" s="185">
        <v>842.6</v>
      </c>
      <c r="R35" s="185"/>
      <c r="S35" s="196"/>
      <c r="T35" s="70"/>
      <c r="U35" s="75"/>
      <c r="V35" s="75"/>
      <c r="W35" s="75"/>
      <c r="X35" s="75"/>
      <c r="Y35" s="75"/>
      <c r="Z35" s="75"/>
    </row>
    <row r="36" ht="15.75" customHeight="1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</row>
    <row r="37" ht="15.75" customHeight="1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</row>
    <row r="38" ht="15.75" customHeight="1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</row>
    <row r="39" ht="15.75" customHeight="1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</row>
    <row r="40" ht="15.75" customHeight="1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</row>
    <row r="41" ht="15.75" customHeight="1"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</row>
    <row r="42" ht="15.75" customHeight="1"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</row>
    <row r="43" ht="15.75" customHeight="1"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</row>
    <row r="44" ht="15.75" customHeight="1"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</row>
    <row r="45" ht="15.75" customHeight="1"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</row>
    <row r="46" ht="15.75" customHeight="1"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</row>
    <row r="47" ht="15.75" customHeight="1"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</row>
    <row r="48" ht="15.75" customHeight="1"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</row>
    <row r="49" ht="15.75" customHeight="1"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</row>
    <row r="50" ht="15.75" customHeight="1"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</row>
    <row r="51" ht="15.75" customHeight="1"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</row>
    <row r="52" ht="15.75" customHeight="1"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</row>
    <row r="53" ht="15.75" customHeight="1"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</row>
    <row r="54" ht="15.75" customHeight="1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</row>
    <row r="55" ht="15.75" customHeight="1"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</row>
    <row r="56" ht="15.75" customHeight="1"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</row>
    <row r="57" ht="15.75" customHeight="1"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</row>
    <row r="58" ht="15.75" customHeight="1"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</row>
    <row r="59" ht="15.75" customHeight="1"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</row>
    <row r="60" ht="15.75" customHeight="1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</row>
    <row r="61" ht="15.75" customHeight="1"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</row>
    <row r="62" ht="15.75" customHeight="1"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</row>
    <row r="63" ht="15.75" customHeight="1"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</row>
    <row r="64" ht="15.75" customHeight="1"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</row>
    <row r="65" ht="15.75" customHeight="1"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</row>
    <row r="66" ht="15.75" customHeight="1"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</row>
    <row r="67" ht="15.75" customHeight="1"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</row>
    <row r="68" ht="15.75" customHeight="1"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</row>
    <row r="69" ht="15.75" customHeight="1"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</row>
    <row r="70" ht="15.75" customHeight="1"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</row>
    <row r="71" ht="15.75" customHeight="1"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</row>
    <row r="72" ht="15.75" customHeight="1"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</row>
    <row r="73" ht="15.75" customHeight="1"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</row>
    <row r="74" ht="15.75" customHeight="1"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</row>
    <row r="75" ht="15.75" customHeight="1"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</row>
    <row r="76" ht="15.75" customHeight="1"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</row>
    <row r="77" ht="15.75" customHeight="1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</row>
    <row r="78" ht="15.75" customHeight="1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</row>
    <row r="79" ht="15.75" customHeight="1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</row>
    <row r="80" ht="15.75" customHeight="1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</row>
    <row r="81" ht="15.75" customHeight="1"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</row>
    <row r="82" ht="15.75" customHeight="1"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</row>
    <row r="83" ht="15.75" customHeight="1"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</row>
    <row r="84" ht="15.75" customHeight="1"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</row>
    <row r="85" ht="15.75" customHeight="1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</row>
    <row r="86" ht="15.75" customHeight="1"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</row>
    <row r="87" ht="15.75" customHeight="1"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</row>
    <row r="88" ht="15.75" customHeight="1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</row>
    <row r="89" ht="15.75" customHeight="1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</row>
    <row r="90" ht="15.75" customHeight="1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</row>
    <row r="91" ht="15.75" customHeight="1"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</row>
    <row r="92" ht="15.75" customHeight="1"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</row>
    <row r="93" ht="15.75" customHeight="1"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</row>
    <row r="94" ht="15.75" customHeight="1"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</row>
    <row r="95" ht="15.75" customHeight="1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</row>
    <row r="96" ht="15.75" customHeight="1"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</row>
    <row r="97" ht="15.75" customHeight="1"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</row>
    <row r="98" ht="15.75" customHeight="1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</row>
    <row r="99" ht="15.75" customHeight="1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</row>
    <row r="100" ht="15.75" customHeight="1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</row>
    <row r="101" ht="15.75" customHeight="1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</row>
    <row r="102" ht="15.75" customHeight="1"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</row>
    <row r="103" ht="15.75" customHeight="1"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</row>
    <row r="104" ht="15.75" customHeight="1"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</row>
    <row r="105" ht="15.75" customHeight="1"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</row>
    <row r="106" ht="15.75" customHeight="1"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</row>
    <row r="107" ht="15.75" customHeight="1"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</row>
    <row r="108" ht="15.75" customHeight="1"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</row>
    <row r="109" ht="15.75" customHeight="1"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</row>
    <row r="110" ht="15.75" customHeight="1"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</row>
    <row r="111" ht="15.75" customHeight="1"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</row>
    <row r="112" ht="15.75" customHeight="1"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</row>
    <row r="113" ht="15.75" customHeight="1"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</row>
    <row r="114" ht="15.75" customHeight="1"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</row>
    <row r="115" ht="15.75" customHeight="1"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</row>
    <row r="116" ht="15.75" customHeight="1"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</row>
    <row r="117" ht="15.75" customHeight="1"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</row>
    <row r="118" ht="15.75" customHeight="1"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</row>
    <row r="119" ht="15.75" customHeight="1"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</row>
    <row r="120" ht="15.75" customHeight="1"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</row>
    <row r="121" ht="15.75" customHeight="1"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</row>
    <row r="122" ht="15.75" customHeight="1"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</row>
    <row r="123" ht="15.75" customHeight="1"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</row>
    <row r="124" ht="15.75" customHeight="1"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</row>
    <row r="125" ht="15.75" customHeight="1"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</row>
    <row r="126" ht="15.75" customHeight="1"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</row>
    <row r="127" ht="15.75" customHeight="1"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</row>
    <row r="128" ht="15.75" customHeight="1"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</row>
    <row r="129" ht="15.75" customHeight="1"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</row>
    <row r="130" ht="15.75" customHeight="1"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</row>
    <row r="131" ht="15.75" customHeight="1"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</row>
    <row r="132" ht="15.75" customHeight="1"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</row>
    <row r="133" ht="15.75" customHeight="1"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</row>
    <row r="134" ht="15.75" customHeight="1"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</row>
    <row r="135" ht="15.75" customHeight="1"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</row>
    <row r="136" ht="15.75" customHeight="1"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</row>
    <row r="137" ht="15.75" customHeight="1"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</row>
    <row r="138" ht="15.75" customHeight="1"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</row>
    <row r="139" ht="15.75" customHeight="1"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</row>
    <row r="140" ht="15.75" customHeight="1"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</row>
    <row r="141" ht="15.75" customHeight="1"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</row>
    <row r="142" ht="15.75" customHeight="1"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</row>
    <row r="143" ht="15.75" customHeight="1"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</row>
    <row r="144" ht="15.75" customHeight="1"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</row>
    <row r="145" ht="15.75" customHeight="1"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</row>
    <row r="146" ht="15.75" customHeight="1"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</row>
    <row r="147" ht="15.75" customHeight="1"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</row>
    <row r="148" ht="15.75" customHeight="1"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</row>
    <row r="149" ht="15.75" customHeight="1"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</row>
    <row r="150" ht="15.75" customHeight="1"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</row>
    <row r="151" ht="15.75" customHeight="1"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</row>
    <row r="152" ht="15.75" customHeight="1"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</row>
    <row r="153" ht="15.75" customHeight="1"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</row>
    <row r="154" ht="15.75" customHeight="1"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</row>
    <row r="155" ht="15.75" customHeight="1"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</row>
    <row r="156" ht="15.75" customHeight="1"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</row>
    <row r="157" ht="15.75" customHeight="1"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</row>
    <row r="158" ht="15.75" customHeight="1"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</row>
    <row r="159" ht="15.75" customHeight="1"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</row>
    <row r="160" ht="15.75" customHeight="1"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</row>
    <row r="161" ht="15.75" customHeight="1"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</row>
    <row r="162" ht="15.75" customHeight="1"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</row>
    <row r="163" ht="15.75" customHeight="1"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</row>
    <row r="164" ht="15.75" customHeight="1"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</row>
    <row r="165" ht="15.75" customHeight="1"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</row>
    <row r="166" ht="15.75" customHeight="1"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</row>
    <row r="167" ht="15.75" customHeight="1"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</row>
    <row r="168" ht="15.75" customHeight="1"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</row>
    <row r="169" ht="15.75" customHeight="1"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</row>
    <row r="170" ht="15.75" customHeight="1"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</row>
    <row r="171" ht="15.75" customHeight="1"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</row>
    <row r="172" ht="15.75" customHeight="1"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</row>
    <row r="173" ht="15.75" customHeight="1"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</row>
    <row r="174" ht="15.75" customHeight="1"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</row>
    <row r="175" ht="15.75" customHeight="1"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</row>
    <row r="176" ht="15.75" customHeight="1"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</row>
    <row r="177" ht="15.75" customHeight="1"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</row>
    <row r="178" ht="15.75" customHeight="1"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</row>
    <row r="179" ht="15.75" customHeight="1"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</row>
    <row r="180" ht="15.75" customHeight="1"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</row>
    <row r="181" ht="15.75" customHeight="1"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</row>
    <row r="182" ht="15.75" customHeight="1"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</row>
    <row r="183" ht="15.75" customHeight="1"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</row>
    <row r="184" ht="15.75" customHeight="1"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</row>
    <row r="185" ht="15.75" customHeight="1"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</row>
    <row r="186" ht="15.75" customHeight="1"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</row>
    <row r="187" ht="15.75" customHeight="1"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</row>
    <row r="188" ht="15.75" customHeight="1"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</row>
    <row r="189" ht="15.75" customHeight="1"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</row>
    <row r="190" ht="15.75" customHeight="1"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</row>
    <row r="191" ht="15.75" customHeight="1"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</row>
    <row r="192" ht="15.75" customHeight="1"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</row>
    <row r="193" ht="15.75" customHeight="1"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</row>
    <row r="194" ht="15.75" customHeight="1"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</row>
    <row r="195" ht="15.75" customHeight="1"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</row>
    <row r="196" ht="15.75" customHeight="1"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</row>
    <row r="197" ht="15.75" customHeight="1"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</row>
    <row r="198" ht="15.75" customHeight="1"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</row>
    <row r="199" ht="15.75" customHeight="1"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</row>
    <row r="200" ht="15.75" customHeight="1"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</row>
    <row r="201" ht="15.75" customHeight="1"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</row>
    <row r="202" ht="15.75" customHeight="1"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</row>
    <row r="203" ht="15.75" customHeight="1"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</row>
    <row r="204" ht="15.75" customHeight="1"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</row>
    <row r="205" ht="15.75" customHeight="1"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</row>
    <row r="206" ht="15.75" customHeight="1"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</row>
    <row r="207" ht="15.75" customHeight="1"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</row>
    <row r="208" ht="15.75" customHeight="1"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</row>
    <row r="209" ht="15.75" customHeight="1"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</row>
    <row r="210" ht="15.75" customHeight="1"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</row>
    <row r="211" ht="15.75" customHeight="1"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</row>
    <row r="212" ht="15.75" customHeight="1"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</row>
    <row r="213" ht="15.75" customHeight="1"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</row>
    <row r="214" ht="15.75" customHeight="1"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</row>
    <row r="215" ht="15.75" customHeight="1"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</row>
    <row r="216" ht="15.75" customHeight="1"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</row>
    <row r="217" ht="15.75" customHeight="1"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</row>
    <row r="218" ht="15.75" customHeight="1"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</row>
    <row r="219" ht="15.75" customHeight="1"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</row>
    <row r="220" ht="15.75" customHeight="1"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</row>
    <row r="221" ht="15.75" customHeight="1"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</row>
    <row r="222" ht="15.75" customHeight="1"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</row>
    <row r="223" ht="15.75" customHeight="1"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</row>
    <row r="224" ht="15.75" customHeight="1"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</row>
    <row r="225" ht="15.75" customHeight="1"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</row>
    <row r="226" ht="15.75" customHeight="1"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</row>
    <row r="227" ht="15.75" customHeight="1"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</row>
    <row r="228" ht="15.75" customHeight="1"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</row>
    <row r="229" ht="15.75" customHeight="1"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</row>
    <row r="230" ht="15.75" customHeight="1"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</row>
    <row r="231" ht="15.75" customHeight="1"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</row>
    <row r="232" ht="15.75" customHeight="1"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</row>
    <row r="233" ht="15.75" customHeight="1"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6">
    <mergeCell ref="B1:E2"/>
    <mergeCell ref="F2:G2"/>
    <mergeCell ref="H2:S2"/>
    <mergeCell ref="B26:E27"/>
    <mergeCell ref="F27:G27"/>
    <mergeCell ref="H27:S27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16.14"/>
    <col customWidth="1" min="2" max="2" width="22.0"/>
    <col customWidth="1" min="3" max="3" width="11.14"/>
    <col customWidth="1" min="4" max="17" width="10.14"/>
    <col customWidth="1" min="18" max="18" width="2.57"/>
  </cols>
  <sheetData>
    <row r="1" ht="18.75" customHeight="1">
      <c r="A1" s="216" t="s">
        <v>452</v>
      </c>
      <c r="B1" s="217"/>
      <c r="C1" s="217"/>
      <c r="D1" s="217"/>
      <c r="E1" s="218"/>
      <c r="F1" s="219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0"/>
      <c r="S1" s="108" t="s">
        <v>456</v>
      </c>
      <c r="T1" s="108" t="s">
        <v>457</v>
      </c>
      <c r="U1" s="10"/>
      <c r="V1" s="10"/>
      <c r="W1" s="10"/>
      <c r="X1" s="10"/>
    </row>
    <row r="2" ht="15.75" customHeight="1">
      <c r="A2" s="221" t="s">
        <v>459</v>
      </c>
      <c r="B2" s="221" t="s">
        <v>461</v>
      </c>
      <c r="C2" s="221" t="s">
        <v>29</v>
      </c>
      <c r="D2" s="222" t="s">
        <v>462</v>
      </c>
      <c r="E2" s="223" t="s">
        <v>464</v>
      </c>
      <c r="F2" s="221" t="s">
        <v>253</v>
      </c>
      <c r="G2" s="221" t="s">
        <v>254</v>
      </c>
      <c r="H2" s="221" t="s">
        <v>255</v>
      </c>
      <c r="I2" s="221" t="s">
        <v>256</v>
      </c>
      <c r="J2" s="221" t="s">
        <v>257</v>
      </c>
      <c r="K2" s="221" t="s">
        <v>258</v>
      </c>
      <c r="L2" s="221" t="s">
        <v>259</v>
      </c>
      <c r="M2" s="221" t="s">
        <v>260</v>
      </c>
      <c r="N2" s="221" t="s">
        <v>261</v>
      </c>
      <c r="O2" s="221" t="s">
        <v>262</v>
      </c>
      <c r="P2" s="221" t="s">
        <v>251</v>
      </c>
      <c r="Q2" s="221" t="s">
        <v>252</v>
      </c>
      <c r="R2" s="224"/>
      <c r="S2" s="225"/>
      <c r="T2" s="225"/>
      <c r="U2" s="75"/>
      <c r="V2" s="75"/>
      <c r="W2" s="224"/>
      <c r="X2" s="224"/>
      <c r="Y2" s="75"/>
    </row>
    <row r="3" ht="18.0" customHeight="1">
      <c r="A3" s="226" t="s">
        <v>467</v>
      </c>
      <c r="B3" s="227" t="s">
        <v>468</v>
      </c>
      <c r="C3" s="228">
        <v>1710.75</v>
      </c>
      <c r="D3" s="229">
        <v>45474.0</v>
      </c>
      <c r="E3" s="230">
        <v>47238.0</v>
      </c>
      <c r="F3" s="231">
        <v>46023.0</v>
      </c>
      <c r="G3" s="231">
        <v>46054.0</v>
      </c>
      <c r="H3" s="231">
        <v>46082.0</v>
      </c>
      <c r="I3" s="231">
        <v>46113.0</v>
      </c>
      <c r="J3" s="231">
        <v>46143.0</v>
      </c>
      <c r="K3" s="231">
        <v>46174.0</v>
      </c>
      <c r="L3" s="231">
        <v>46204.0</v>
      </c>
      <c r="M3" s="231">
        <v>46235.0</v>
      </c>
      <c r="N3" s="232">
        <v>46266.0</v>
      </c>
      <c r="O3" s="232">
        <v>46296.0</v>
      </c>
      <c r="P3" s="232">
        <v>46327.0</v>
      </c>
      <c r="Q3" s="232">
        <v>46357.0</v>
      </c>
      <c r="R3" s="233"/>
      <c r="S3" s="225"/>
      <c r="T3" s="225"/>
      <c r="U3" s="75"/>
      <c r="V3" s="75"/>
      <c r="W3" s="75"/>
      <c r="X3" s="75"/>
      <c r="Y3" s="75"/>
    </row>
    <row r="4" ht="18.0" customHeight="1">
      <c r="A4" s="234" t="s">
        <v>179</v>
      </c>
      <c r="B4" s="235">
        <v>1517153.0</v>
      </c>
      <c r="C4" s="236">
        <v>15414.86</v>
      </c>
      <c r="D4" s="237">
        <v>46119.0</v>
      </c>
      <c r="E4" s="238">
        <v>47184.0</v>
      </c>
      <c r="F4" s="232"/>
      <c r="G4" s="232"/>
      <c r="H4" s="232"/>
      <c r="I4" s="231">
        <v>46119.0</v>
      </c>
      <c r="J4" s="231">
        <v>46149.0</v>
      </c>
      <c r="K4" s="231">
        <v>46180.0</v>
      </c>
      <c r="L4" s="231">
        <v>46210.0</v>
      </c>
      <c r="M4" s="231">
        <v>46241.0</v>
      </c>
      <c r="N4" s="239">
        <v>46272.0</v>
      </c>
      <c r="O4" s="239">
        <v>46302.0</v>
      </c>
      <c r="P4" s="239">
        <v>46333.0</v>
      </c>
      <c r="Q4" s="239">
        <v>46363.0</v>
      </c>
      <c r="R4" s="75"/>
      <c r="S4" s="225"/>
      <c r="T4" s="225"/>
      <c r="U4" s="75"/>
      <c r="V4" s="75"/>
      <c r="W4" s="75"/>
      <c r="X4" s="75"/>
      <c r="Y4" s="75"/>
    </row>
    <row r="5" ht="18.0" customHeight="1">
      <c r="A5" s="226" t="s">
        <v>82</v>
      </c>
      <c r="B5" s="227" t="s">
        <v>480</v>
      </c>
      <c r="C5" s="228">
        <v>1271.12</v>
      </c>
      <c r="D5" s="229">
        <v>45394.0</v>
      </c>
      <c r="E5" s="230">
        <v>46125.0</v>
      </c>
      <c r="F5" s="240">
        <v>46035.0</v>
      </c>
      <c r="G5" s="231">
        <v>46066.0</v>
      </c>
      <c r="H5" s="231">
        <v>46093.0</v>
      </c>
      <c r="I5" s="231">
        <v>46125.0</v>
      </c>
      <c r="J5" s="241"/>
      <c r="K5" s="241"/>
      <c r="L5" s="241"/>
      <c r="M5" s="241"/>
      <c r="N5" s="241"/>
      <c r="O5" s="241"/>
      <c r="P5" s="241"/>
      <c r="Q5" s="241"/>
      <c r="R5" s="75"/>
      <c r="S5" s="225"/>
      <c r="T5" s="225"/>
      <c r="U5" s="75"/>
      <c r="V5" s="75"/>
      <c r="W5" s="75"/>
      <c r="X5" s="75"/>
      <c r="Y5" s="75"/>
    </row>
    <row r="6" ht="18.0" customHeight="1">
      <c r="A6" s="226" t="s">
        <v>483</v>
      </c>
      <c r="B6" s="227">
        <v>2.0555889616E10</v>
      </c>
      <c r="C6" s="228">
        <v>7681.2</v>
      </c>
      <c r="D6" s="229">
        <v>45854.0</v>
      </c>
      <c r="E6" s="230">
        <v>46372.0</v>
      </c>
      <c r="F6" s="231">
        <v>46038.0</v>
      </c>
      <c r="G6" s="231">
        <v>46069.0</v>
      </c>
      <c r="H6" s="231">
        <v>46097.0</v>
      </c>
      <c r="I6" s="231">
        <v>46128.0</v>
      </c>
      <c r="J6" s="231">
        <v>46158.0</v>
      </c>
      <c r="K6" s="231">
        <v>46189.0</v>
      </c>
      <c r="L6" s="231">
        <v>46219.0</v>
      </c>
      <c r="M6" s="239">
        <v>46250.0</v>
      </c>
      <c r="N6" s="239">
        <v>46281.0</v>
      </c>
      <c r="O6" s="239">
        <v>46311.0</v>
      </c>
      <c r="P6" s="239">
        <v>46342.0</v>
      </c>
      <c r="Q6" s="239">
        <v>46372.0</v>
      </c>
      <c r="R6" s="102"/>
      <c r="S6" s="68"/>
      <c r="T6" s="108"/>
      <c r="U6" s="102"/>
      <c r="V6" s="102"/>
      <c r="W6" s="102"/>
      <c r="X6" s="102"/>
      <c r="Y6" s="75"/>
    </row>
    <row r="7" ht="18.0" customHeight="1">
      <c r="A7" s="226" t="s">
        <v>82</v>
      </c>
      <c r="B7" s="227" t="s">
        <v>488</v>
      </c>
      <c r="C7" s="228">
        <v>61506.68</v>
      </c>
      <c r="D7" s="229">
        <v>45469.0</v>
      </c>
      <c r="E7" s="230">
        <v>47149.0</v>
      </c>
      <c r="F7" s="240">
        <v>46048.0</v>
      </c>
      <c r="G7" s="231">
        <v>46079.0</v>
      </c>
      <c r="H7" s="240">
        <v>46107.0</v>
      </c>
      <c r="I7" s="231">
        <v>46138.0</v>
      </c>
      <c r="J7" s="242"/>
      <c r="K7" s="232"/>
      <c r="L7" s="242"/>
      <c r="M7" s="232"/>
      <c r="N7" s="242"/>
      <c r="O7" s="232"/>
      <c r="P7" s="242"/>
      <c r="Q7" s="232"/>
      <c r="R7" s="102"/>
      <c r="S7" s="243"/>
      <c r="T7" s="225"/>
      <c r="U7" s="75"/>
      <c r="V7" s="75"/>
      <c r="W7" s="102"/>
      <c r="X7" s="102"/>
      <c r="Y7" s="75"/>
    </row>
    <row r="8" ht="18.0" customHeight="1">
      <c r="A8" s="226" t="s">
        <v>82</v>
      </c>
      <c r="B8" s="235" t="s">
        <v>490</v>
      </c>
      <c r="C8" s="236">
        <v>70630.12</v>
      </c>
      <c r="D8" s="237">
        <v>46135.0</v>
      </c>
      <c r="E8" s="238">
        <v>11071.0</v>
      </c>
      <c r="F8" s="242"/>
      <c r="G8" s="232"/>
      <c r="H8" s="232"/>
      <c r="I8" s="232"/>
      <c r="J8" s="231">
        <v>46167.0</v>
      </c>
      <c r="K8" s="231">
        <v>46196.0</v>
      </c>
      <c r="L8" s="231">
        <v>46226.0</v>
      </c>
      <c r="M8" s="239">
        <v>46258.0</v>
      </c>
      <c r="N8" s="239">
        <v>46288.0</v>
      </c>
      <c r="O8" s="239">
        <v>46318.0</v>
      </c>
      <c r="P8" s="239">
        <v>46349.0</v>
      </c>
      <c r="Q8" s="239">
        <v>46379.0</v>
      </c>
      <c r="R8" s="102"/>
      <c r="S8" s="244"/>
      <c r="T8" s="225"/>
      <c r="U8" s="101"/>
      <c r="V8" s="101"/>
      <c r="W8" s="102"/>
      <c r="X8" s="102"/>
      <c r="Y8" s="75"/>
    </row>
    <row r="9" ht="18.0" customHeight="1">
      <c r="A9" s="226" t="s">
        <v>493</v>
      </c>
      <c r="B9" s="227" t="s">
        <v>494</v>
      </c>
      <c r="C9" s="228">
        <v>5565.57</v>
      </c>
      <c r="D9" s="229">
        <v>44953.0</v>
      </c>
      <c r="E9" s="230">
        <v>46720.0</v>
      </c>
      <c r="F9" s="240">
        <v>46049.0</v>
      </c>
      <c r="G9" s="231">
        <v>46080.0</v>
      </c>
      <c r="H9" s="231">
        <v>46108.0</v>
      </c>
      <c r="I9" s="231">
        <v>46140.0</v>
      </c>
      <c r="J9" s="232">
        <v>46169.0</v>
      </c>
      <c r="K9" s="232">
        <v>46203.0</v>
      </c>
      <c r="L9" s="232">
        <v>46230.0</v>
      </c>
      <c r="M9" s="232">
        <v>46261.0</v>
      </c>
      <c r="N9" s="232">
        <v>46293.0</v>
      </c>
      <c r="O9" s="232">
        <v>46322.0</v>
      </c>
      <c r="P9" s="232">
        <v>46353.0</v>
      </c>
      <c r="Q9" s="232">
        <v>46384.0</v>
      </c>
      <c r="R9" s="102"/>
      <c r="S9" s="244"/>
      <c r="T9" s="225"/>
      <c r="U9" s="101"/>
      <c r="V9" s="101"/>
      <c r="W9" s="102"/>
      <c r="X9" s="102"/>
      <c r="Y9" s="75"/>
    </row>
    <row r="10" ht="18.0" customHeight="1">
      <c r="A10" s="226" t="s">
        <v>493</v>
      </c>
      <c r="B10" s="227" t="s">
        <v>497</v>
      </c>
      <c r="C10" s="228">
        <v>3846.42</v>
      </c>
      <c r="D10" s="229">
        <v>44224.0</v>
      </c>
      <c r="E10" s="230">
        <v>46384.0</v>
      </c>
      <c r="F10" s="240">
        <v>46050.0</v>
      </c>
      <c r="G10" s="231">
        <v>46083.0</v>
      </c>
      <c r="H10" s="240">
        <v>46115.0</v>
      </c>
      <c r="I10" s="231">
        <v>46140.0</v>
      </c>
      <c r="J10" s="242">
        <v>46170.0</v>
      </c>
      <c r="K10" s="232">
        <v>46203.0</v>
      </c>
      <c r="L10" s="242">
        <v>46233.0</v>
      </c>
      <c r="M10" s="232">
        <v>46262.0</v>
      </c>
      <c r="N10" s="242">
        <v>46293.0</v>
      </c>
      <c r="O10" s="232">
        <v>46323.0</v>
      </c>
      <c r="P10" s="242">
        <v>46356.0</v>
      </c>
      <c r="Q10" s="232">
        <v>46384.0</v>
      </c>
      <c r="R10" s="102"/>
      <c r="S10" s="108"/>
      <c r="T10" s="225"/>
      <c r="U10" s="101"/>
      <c r="V10" s="101"/>
      <c r="W10" s="102"/>
      <c r="X10" s="102"/>
      <c r="Y10" s="75"/>
    </row>
    <row r="11" ht="18.0" customHeight="1">
      <c r="A11" s="226" t="s">
        <v>493</v>
      </c>
      <c r="B11" s="235" t="s">
        <v>500</v>
      </c>
      <c r="C11" s="236">
        <v>7069.62</v>
      </c>
      <c r="D11" s="237">
        <v>46141.0</v>
      </c>
      <c r="E11" s="238">
        <v>11413.0</v>
      </c>
      <c r="F11" s="242"/>
      <c r="G11" s="232"/>
      <c r="H11" s="242"/>
      <c r="I11" s="232"/>
      <c r="J11" s="240">
        <v>46171.0</v>
      </c>
      <c r="K11" s="231">
        <v>46203.0</v>
      </c>
      <c r="L11" s="240">
        <v>46233.0</v>
      </c>
      <c r="M11" s="239">
        <v>46265.0</v>
      </c>
      <c r="N11" s="245">
        <v>46294.0</v>
      </c>
      <c r="O11" s="239">
        <v>46324.0</v>
      </c>
      <c r="P11" s="245">
        <v>46356.0</v>
      </c>
      <c r="Q11" s="239">
        <v>46385.0</v>
      </c>
      <c r="R11" s="102"/>
      <c r="S11" s="108"/>
      <c r="T11" s="225"/>
      <c r="U11" s="101"/>
      <c r="V11" s="101"/>
      <c r="W11" s="102"/>
      <c r="X11" s="102"/>
      <c r="Y11" s="75"/>
    </row>
    <row r="12">
      <c r="A12" s="102"/>
      <c r="B12" s="102"/>
      <c r="C12" s="247">
        <f>SUM(C3:C10)</f>
        <v>167626.72</v>
      </c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8"/>
      <c r="T12" s="68"/>
      <c r="U12" s="248"/>
      <c r="V12" s="248"/>
      <c r="W12" s="75"/>
      <c r="X12" s="75"/>
      <c r="Y12" s="75"/>
    </row>
    <row r="13">
      <c r="A13" s="249"/>
      <c r="B13" s="249"/>
      <c r="C13" s="249"/>
      <c r="D13" s="249"/>
      <c r="E13" s="249"/>
      <c r="F13" s="249"/>
      <c r="G13" s="249"/>
      <c r="H13" s="250"/>
      <c r="I13" s="251"/>
      <c r="J13" s="250"/>
      <c r="K13" s="249"/>
      <c r="L13" s="249"/>
      <c r="M13" s="249"/>
      <c r="N13" s="249"/>
      <c r="O13" s="249"/>
      <c r="P13" s="249"/>
      <c r="Q13" s="249"/>
      <c r="R13" s="102"/>
      <c r="T13" s="252"/>
      <c r="U13" s="252"/>
      <c r="V13" s="252"/>
      <c r="W13" s="253"/>
      <c r="X13" s="253"/>
    </row>
    <row r="14">
      <c r="A14" s="249"/>
      <c r="B14" s="249"/>
      <c r="C14" s="249"/>
      <c r="D14" s="249"/>
      <c r="E14" s="249"/>
      <c r="F14" s="249"/>
      <c r="G14" s="249"/>
      <c r="H14" s="250"/>
      <c r="I14" s="251"/>
      <c r="J14" s="250"/>
      <c r="K14" s="249"/>
      <c r="L14" s="249"/>
      <c r="M14" s="249"/>
      <c r="N14" s="249"/>
      <c r="O14" s="249"/>
      <c r="P14" s="249"/>
      <c r="Q14" s="249"/>
      <c r="T14" s="252"/>
      <c r="U14" s="252"/>
      <c r="V14" s="252"/>
      <c r="W14" s="253"/>
      <c r="X14" s="253"/>
    </row>
    <row r="15">
      <c r="A15" s="249"/>
      <c r="B15" s="249"/>
      <c r="C15" s="249"/>
      <c r="D15" s="249"/>
      <c r="E15" s="249"/>
      <c r="F15" s="249"/>
      <c r="G15" s="249"/>
      <c r="H15" s="250"/>
      <c r="I15" s="251"/>
      <c r="J15" s="250"/>
      <c r="K15" s="254"/>
      <c r="L15" s="249"/>
      <c r="M15" s="249"/>
      <c r="N15" s="249"/>
      <c r="O15" s="249"/>
      <c r="P15" s="249"/>
      <c r="Q15" s="249"/>
      <c r="T15" s="252"/>
      <c r="U15" s="252"/>
      <c r="V15" s="252"/>
      <c r="W15" s="253"/>
      <c r="X15" s="253"/>
    </row>
    <row r="16">
      <c r="A16" s="249"/>
      <c r="B16" s="250"/>
      <c r="C16" s="255"/>
      <c r="D16" s="249"/>
      <c r="E16" s="249"/>
      <c r="F16" s="249"/>
      <c r="G16" s="249"/>
      <c r="H16" s="250"/>
      <c r="I16" s="251"/>
      <c r="J16" s="250"/>
      <c r="K16" s="254"/>
      <c r="L16" s="249"/>
      <c r="M16" s="249"/>
      <c r="N16" s="249"/>
      <c r="O16" s="249"/>
      <c r="P16" s="249"/>
      <c r="Q16" s="249"/>
      <c r="T16" s="252"/>
      <c r="U16" s="252"/>
      <c r="V16" s="252"/>
      <c r="W16" s="253"/>
      <c r="X16" s="253"/>
    </row>
    <row r="17">
      <c r="A17" s="249"/>
      <c r="B17" s="250"/>
      <c r="C17" s="255"/>
      <c r="D17" s="249"/>
      <c r="E17" s="249"/>
      <c r="F17" s="250"/>
      <c r="G17" s="249"/>
      <c r="H17" s="250"/>
      <c r="I17" s="251"/>
      <c r="J17" s="250"/>
      <c r="K17" s="254"/>
      <c r="L17" s="249"/>
      <c r="M17" s="249"/>
      <c r="N17" s="249"/>
      <c r="O17" s="249"/>
      <c r="P17" s="249"/>
      <c r="Q17" s="249"/>
      <c r="T17" s="252"/>
      <c r="U17" s="252"/>
      <c r="V17" s="252"/>
      <c r="W17" s="253"/>
      <c r="X17" s="253"/>
    </row>
    <row r="18">
      <c r="A18" s="249"/>
      <c r="C18" s="255"/>
      <c r="D18" s="249"/>
      <c r="E18" s="249"/>
      <c r="F18" s="250"/>
      <c r="G18" s="249"/>
      <c r="H18" s="250"/>
      <c r="I18" s="251"/>
      <c r="J18" s="250"/>
      <c r="K18" s="254"/>
      <c r="L18" s="249"/>
      <c r="M18" s="249"/>
      <c r="N18" s="249"/>
      <c r="O18" s="249"/>
      <c r="P18" s="249"/>
      <c r="Q18" s="249"/>
      <c r="T18" s="252"/>
      <c r="U18" s="252"/>
      <c r="V18" s="252"/>
      <c r="W18" s="253"/>
      <c r="X18" s="253"/>
    </row>
    <row r="19">
      <c r="C19" s="255"/>
      <c r="F19" s="249"/>
      <c r="G19" s="249"/>
      <c r="H19" s="250"/>
      <c r="I19" s="251"/>
      <c r="J19" s="250"/>
      <c r="K19" s="254"/>
      <c r="L19" s="249"/>
      <c r="M19" s="249"/>
      <c r="N19" s="249"/>
      <c r="O19" s="249"/>
      <c r="P19" s="249"/>
      <c r="Q19" s="249"/>
      <c r="T19" s="252"/>
      <c r="U19" s="252"/>
      <c r="V19" s="252"/>
    </row>
    <row r="20">
      <c r="C20" s="255"/>
      <c r="F20" s="249"/>
      <c r="G20" s="249"/>
      <c r="H20" s="250"/>
      <c r="I20" s="251"/>
      <c r="J20" s="250"/>
      <c r="K20" s="254"/>
      <c r="L20" s="249"/>
      <c r="M20" s="249"/>
      <c r="N20" s="249"/>
      <c r="O20" s="249"/>
      <c r="P20" s="249"/>
      <c r="Q20" s="249"/>
      <c r="T20" s="252"/>
      <c r="U20" s="252"/>
      <c r="V20" s="252"/>
    </row>
    <row r="21">
      <c r="C21" s="255"/>
      <c r="F21" s="249"/>
      <c r="G21" s="249"/>
      <c r="H21" s="250"/>
      <c r="I21" s="251"/>
      <c r="J21" s="250"/>
      <c r="K21" s="254"/>
      <c r="L21" s="249"/>
      <c r="M21" s="249"/>
      <c r="N21" s="249"/>
      <c r="O21" s="249"/>
      <c r="P21" s="249"/>
      <c r="Q21" s="249"/>
      <c r="T21" s="252"/>
      <c r="U21" s="252"/>
      <c r="V21" s="252"/>
    </row>
    <row r="22">
      <c r="C22" s="255"/>
      <c r="F22" s="249"/>
      <c r="G22" s="249"/>
      <c r="H22" s="250"/>
      <c r="I22" s="251"/>
      <c r="J22" s="250"/>
      <c r="K22" s="249"/>
      <c r="L22" s="249"/>
      <c r="M22" s="249"/>
      <c r="N22" s="249"/>
      <c r="O22" s="249"/>
      <c r="P22" s="249"/>
      <c r="Q22" s="249"/>
      <c r="T22" s="252"/>
      <c r="U22" s="252"/>
      <c r="V22" s="252"/>
    </row>
    <row r="23">
      <c r="F23" s="249"/>
      <c r="G23" s="249"/>
      <c r="H23" s="250"/>
      <c r="I23" s="251"/>
      <c r="J23" s="250"/>
      <c r="K23" s="249"/>
      <c r="L23" s="249"/>
      <c r="M23" s="249"/>
      <c r="N23" s="251"/>
      <c r="O23" s="249"/>
      <c r="P23" s="249"/>
      <c r="Q23" s="249"/>
      <c r="T23" s="252"/>
      <c r="U23" s="252"/>
      <c r="V23" s="252"/>
    </row>
    <row r="24">
      <c r="F24" s="249"/>
      <c r="G24" s="249"/>
      <c r="H24" s="250"/>
      <c r="I24" s="251"/>
      <c r="J24" s="250"/>
      <c r="K24" s="249"/>
      <c r="L24" s="249"/>
      <c r="M24" s="249"/>
      <c r="N24" s="249"/>
      <c r="O24" s="249"/>
      <c r="P24" s="249"/>
      <c r="Q24" s="249"/>
      <c r="T24" s="252"/>
      <c r="U24" s="252"/>
      <c r="V24" s="252"/>
    </row>
    <row r="25">
      <c r="F25" s="249"/>
      <c r="G25" s="249"/>
      <c r="H25" s="250"/>
      <c r="I25" s="251"/>
      <c r="J25" s="250"/>
      <c r="K25" s="249"/>
      <c r="L25" s="249"/>
      <c r="M25" s="249"/>
      <c r="N25" s="249"/>
      <c r="O25" s="249"/>
      <c r="P25" s="249"/>
      <c r="Q25" s="249"/>
      <c r="T25" s="252"/>
      <c r="U25" s="252"/>
      <c r="V25" s="252"/>
    </row>
    <row r="26">
      <c r="A26" s="249"/>
      <c r="B26" s="249"/>
      <c r="C26" s="249"/>
      <c r="D26" s="249"/>
      <c r="E26" s="249"/>
      <c r="F26" s="249"/>
      <c r="G26" s="249"/>
      <c r="H26" s="250"/>
      <c r="I26" s="251"/>
      <c r="J26" s="250"/>
      <c r="K26" s="249"/>
      <c r="L26" s="249"/>
      <c r="M26" s="249"/>
      <c r="N26" s="249"/>
      <c r="O26" s="249"/>
      <c r="P26" s="249"/>
      <c r="Q26" s="249"/>
      <c r="R26" s="253"/>
      <c r="S26" s="253"/>
      <c r="T26" s="253"/>
      <c r="U26" s="253"/>
      <c r="V26" s="253"/>
      <c r="W26" s="253"/>
      <c r="X26" s="253"/>
    </row>
    <row r="27">
      <c r="A27" s="249"/>
      <c r="B27" s="249"/>
      <c r="C27" s="249"/>
      <c r="D27" s="249"/>
      <c r="E27" s="249"/>
      <c r="F27" s="249"/>
      <c r="G27" s="249"/>
      <c r="H27" s="250"/>
      <c r="I27" s="251"/>
      <c r="J27" s="250"/>
      <c r="K27" s="249"/>
      <c r="L27" s="249"/>
      <c r="M27" s="249"/>
      <c r="N27" s="249"/>
      <c r="O27" s="249"/>
      <c r="P27" s="249"/>
      <c r="Q27" s="249"/>
      <c r="R27" s="253"/>
      <c r="S27" s="253"/>
      <c r="T27" s="253"/>
      <c r="U27" s="253"/>
      <c r="V27" s="253"/>
      <c r="W27" s="253"/>
      <c r="X27" s="253"/>
    </row>
    <row r="28">
      <c r="A28" s="249"/>
      <c r="B28" s="249"/>
      <c r="C28" s="249"/>
      <c r="D28" s="249"/>
      <c r="E28" s="249"/>
      <c r="F28" s="249"/>
      <c r="G28" s="249"/>
      <c r="H28" s="250"/>
      <c r="I28" s="251"/>
      <c r="J28" s="250"/>
      <c r="K28" s="249"/>
      <c r="L28" s="249"/>
      <c r="M28" s="249"/>
      <c r="N28" s="250"/>
      <c r="O28" s="249"/>
      <c r="P28" s="249"/>
      <c r="Q28" s="249"/>
      <c r="R28" s="253"/>
      <c r="S28" s="253"/>
      <c r="T28" s="253"/>
      <c r="U28" s="253"/>
      <c r="V28" s="253"/>
      <c r="W28" s="253"/>
      <c r="X28" s="253"/>
    </row>
    <row r="29" ht="15.75" customHeight="1">
      <c r="A29" s="249"/>
      <c r="B29" s="249"/>
      <c r="C29" s="249"/>
      <c r="D29" s="249"/>
      <c r="E29" s="249"/>
      <c r="F29" s="249"/>
      <c r="G29" s="249"/>
      <c r="H29" s="250"/>
      <c r="I29" s="251"/>
      <c r="J29" s="250"/>
      <c r="K29" s="249"/>
      <c r="L29" s="249"/>
      <c r="M29" s="249"/>
      <c r="N29" s="250"/>
      <c r="O29" s="249"/>
      <c r="P29" s="249"/>
      <c r="Q29" s="249"/>
      <c r="R29" s="253"/>
      <c r="S29" s="253"/>
      <c r="T29" s="253"/>
      <c r="U29" s="253"/>
      <c r="V29" s="253"/>
      <c r="W29" s="253"/>
      <c r="X29" s="253"/>
    </row>
    <row r="30" ht="15.75" customHeight="1">
      <c r="A30" s="249"/>
      <c r="B30" s="249"/>
      <c r="C30" s="249"/>
      <c r="D30" s="249"/>
      <c r="E30" s="249"/>
      <c r="F30" s="249"/>
      <c r="G30" s="249"/>
      <c r="H30" s="250"/>
      <c r="I30" s="251"/>
      <c r="J30" s="250"/>
      <c r="K30" s="249"/>
      <c r="L30" s="249"/>
      <c r="M30" s="249"/>
      <c r="N30" s="249"/>
      <c r="O30" s="249"/>
      <c r="P30" s="249"/>
      <c r="Q30" s="249"/>
      <c r="R30" s="253"/>
      <c r="S30" s="253"/>
      <c r="T30" s="253"/>
      <c r="U30" s="253"/>
      <c r="V30" s="253"/>
      <c r="W30" s="253"/>
      <c r="X30" s="253"/>
    </row>
    <row r="31" ht="15.75" customHeight="1">
      <c r="A31" s="249"/>
      <c r="B31" s="249"/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53"/>
      <c r="S31" s="253"/>
      <c r="T31" s="253"/>
      <c r="U31" s="253"/>
      <c r="V31" s="253"/>
      <c r="W31" s="253"/>
      <c r="X31" s="253"/>
    </row>
    <row r="32" ht="15.75" customHeight="1">
      <c r="A32" s="249"/>
      <c r="B32" s="249"/>
      <c r="C32" s="249"/>
      <c r="D32" s="249"/>
      <c r="E32" s="249"/>
      <c r="F32" s="249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53"/>
      <c r="S32" s="253"/>
      <c r="T32" s="253"/>
      <c r="U32" s="253"/>
      <c r="V32" s="253"/>
      <c r="W32" s="253"/>
      <c r="X32" s="253"/>
    </row>
    <row r="33" ht="15.75" customHeight="1">
      <c r="A33" s="249"/>
      <c r="B33" s="249"/>
      <c r="C33" s="249"/>
      <c r="D33" s="249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53"/>
      <c r="S33" s="253"/>
      <c r="T33" s="253"/>
      <c r="U33" s="253"/>
      <c r="V33" s="253"/>
      <c r="W33" s="253"/>
      <c r="X33" s="253"/>
    </row>
    <row r="34" ht="15.75" customHeight="1">
      <c r="A34" s="249"/>
      <c r="B34" s="249"/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53"/>
      <c r="S34" s="253"/>
      <c r="T34" s="253"/>
      <c r="U34" s="253"/>
      <c r="V34" s="253"/>
      <c r="W34" s="253"/>
      <c r="X34" s="253"/>
    </row>
    <row r="35" ht="15.75" customHeight="1">
      <c r="A35" s="249"/>
      <c r="B35" s="249"/>
      <c r="C35" s="249"/>
      <c r="D35" s="249"/>
      <c r="E35" s="249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53"/>
      <c r="S35" s="253"/>
      <c r="T35" s="253"/>
      <c r="U35" s="253"/>
      <c r="V35" s="253"/>
      <c r="W35" s="253"/>
      <c r="X35" s="253"/>
    </row>
    <row r="36" ht="15.75" customHeight="1">
      <c r="A36" s="249"/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53"/>
      <c r="S36" s="253"/>
      <c r="T36" s="253"/>
      <c r="U36" s="253"/>
      <c r="V36" s="253"/>
      <c r="W36" s="253"/>
      <c r="X36" s="253"/>
    </row>
    <row r="37" ht="15.75" customHeight="1">
      <c r="A37" s="249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53"/>
      <c r="S37" s="253"/>
      <c r="T37" s="253"/>
      <c r="U37" s="253"/>
      <c r="V37" s="253"/>
      <c r="W37" s="253"/>
      <c r="X37" s="253"/>
    </row>
    <row r="38" ht="15.75" customHeight="1">
      <c r="A38" s="249"/>
      <c r="B38" s="249"/>
      <c r="C38" s="249"/>
      <c r="D38" s="249"/>
      <c r="E38" s="249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53"/>
      <c r="S38" s="253"/>
      <c r="T38" s="253"/>
      <c r="U38" s="253"/>
      <c r="V38" s="253"/>
      <c r="W38" s="253"/>
      <c r="X38" s="253"/>
    </row>
    <row r="39" ht="15.75" customHeight="1">
      <c r="A39" s="249"/>
      <c r="B39" s="249"/>
      <c r="C39" s="249"/>
      <c r="D39" s="249"/>
      <c r="E39" s="249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53"/>
      <c r="S39" s="253"/>
      <c r="T39" s="253"/>
      <c r="U39" s="253"/>
      <c r="V39" s="253"/>
      <c r="W39" s="253"/>
      <c r="X39" s="253"/>
    </row>
    <row r="40" ht="15.75" customHeight="1">
      <c r="A40" s="249"/>
      <c r="B40" s="249"/>
      <c r="C40" s="249"/>
      <c r="D40" s="249"/>
      <c r="E40" s="249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53"/>
      <c r="S40" s="253"/>
      <c r="T40" s="253"/>
      <c r="U40" s="253"/>
      <c r="V40" s="253"/>
      <c r="W40" s="253"/>
      <c r="X40" s="253"/>
    </row>
    <row r="41" ht="15.75" customHeight="1">
      <c r="A41" s="249"/>
      <c r="B41" s="249"/>
      <c r="C41" s="249"/>
      <c r="D41" s="249"/>
      <c r="E41" s="249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53"/>
      <c r="S41" s="253"/>
      <c r="T41" s="253"/>
      <c r="U41" s="253"/>
      <c r="V41" s="253"/>
      <c r="W41" s="253"/>
      <c r="X41" s="253" t="s">
        <v>535</v>
      </c>
    </row>
    <row r="42" ht="15.75" customHeight="1">
      <c r="A42" s="249"/>
      <c r="B42" s="249"/>
      <c r="C42" s="249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53"/>
      <c r="S42" s="253"/>
      <c r="T42" s="253"/>
      <c r="U42" s="253"/>
      <c r="V42" s="253"/>
      <c r="W42" s="253"/>
      <c r="X42" s="253"/>
    </row>
    <row r="43" ht="15.75" customHeight="1">
      <c r="A43" s="249"/>
      <c r="B43" s="249"/>
      <c r="C43" s="249"/>
      <c r="D43" s="249"/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53"/>
      <c r="S43" s="253"/>
      <c r="T43" s="253"/>
      <c r="U43" s="253"/>
      <c r="V43" s="253"/>
      <c r="W43" s="253"/>
      <c r="X43" s="253"/>
    </row>
    <row r="44" ht="15.7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53"/>
      <c r="S44" s="253"/>
      <c r="T44" s="253"/>
      <c r="U44" s="253"/>
      <c r="V44" s="253"/>
      <c r="W44" s="253"/>
      <c r="X44" s="253"/>
    </row>
    <row r="45" ht="15.7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249"/>
      <c r="M45" s="249"/>
      <c r="N45" s="249"/>
      <c r="O45" s="249"/>
      <c r="P45" s="249"/>
      <c r="Q45" s="249"/>
      <c r="R45" s="253"/>
      <c r="S45" s="253"/>
      <c r="T45" s="253"/>
      <c r="U45" s="253"/>
      <c r="V45" s="253"/>
      <c r="W45" s="253"/>
      <c r="X45" s="253"/>
    </row>
    <row r="46" ht="15.7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249"/>
      <c r="R46" s="253"/>
      <c r="S46" s="253"/>
      <c r="T46" s="253"/>
      <c r="U46" s="253"/>
      <c r="V46" s="253"/>
      <c r="W46" s="253"/>
      <c r="X46" s="253"/>
    </row>
    <row r="47" ht="15.7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53"/>
      <c r="S47" s="253"/>
      <c r="T47" s="253"/>
      <c r="U47" s="253"/>
      <c r="V47" s="253"/>
      <c r="W47" s="253"/>
      <c r="X47" s="253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">
    <mergeCell ref="A1:E1"/>
    <mergeCell ref="F1:Q1"/>
  </mergeCells>
  <printOptions/>
  <pageMargins bottom="0.75" footer="0.0" header="0.0" left="0.7" right="0.7" top="0.75"/>
  <pageSetup scale="65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57.0"/>
    <col customWidth="1" min="3" max="3" width="11.71"/>
    <col customWidth="1" min="4" max="17" width="11.43"/>
  </cols>
  <sheetData>
    <row r="1" ht="26.25" customHeight="1">
      <c r="A1" s="274" t="s">
        <v>589</v>
      </c>
      <c r="B1" s="218"/>
      <c r="D1" s="275"/>
      <c r="H1" s="10"/>
      <c r="I1" s="10"/>
      <c r="J1" s="10"/>
      <c r="K1" s="10"/>
      <c r="L1" s="10"/>
      <c r="M1" s="10"/>
      <c r="N1" s="10"/>
    </row>
    <row r="2" ht="21.0" customHeight="1">
      <c r="A2" s="276" t="s">
        <v>590</v>
      </c>
      <c r="B2" s="276" t="s">
        <v>591</v>
      </c>
      <c r="C2" s="276" t="s">
        <v>29</v>
      </c>
      <c r="D2" s="276" t="s">
        <v>592</v>
      </c>
      <c r="E2" s="276" t="s">
        <v>593</v>
      </c>
      <c r="F2" s="276" t="s">
        <v>594</v>
      </c>
      <c r="G2" s="276" t="s">
        <v>595</v>
      </c>
      <c r="H2" s="276" t="s">
        <v>596</v>
      </c>
      <c r="I2" s="276" t="s">
        <v>597</v>
      </c>
      <c r="J2" s="276" t="s">
        <v>598</v>
      </c>
      <c r="K2" s="276" t="s">
        <v>599</v>
      </c>
      <c r="L2" s="276" t="s">
        <v>600</v>
      </c>
      <c r="M2" s="276" t="s">
        <v>601</v>
      </c>
      <c r="N2" s="276" t="s">
        <v>602</v>
      </c>
      <c r="O2" s="276" t="s">
        <v>603</v>
      </c>
      <c r="P2" s="75"/>
      <c r="Q2" s="75"/>
    </row>
    <row r="3" ht="18.0" customHeight="1">
      <c r="A3" s="234">
        <v>78232.0</v>
      </c>
      <c r="B3" s="235" t="s">
        <v>604</v>
      </c>
      <c r="C3" s="277">
        <v>4744.86</v>
      </c>
      <c r="D3" s="278"/>
      <c r="E3" s="279">
        <v>46081.0</v>
      </c>
      <c r="F3" s="278"/>
      <c r="G3" s="278"/>
      <c r="H3" s="280">
        <v>46172.0</v>
      </c>
      <c r="I3" s="278"/>
      <c r="J3" s="278"/>
      <c r="K3" s="280">
        <v>46265.0</v>
      </c>
      <c r="L3" s="278"/>
      <c r="M3" s="281"/>
      <c r="N3" s="280">
        <v>46356.0</v>
      </c>
      <c r="O3" s="281"/>
      <c r="P3" s="75"/>
      <c r="Q3" s="75"/>
    </row>
    <row r="4" ht="18.0" customHeight="1">
      <c r="A4" s="234">
        <v>45563.0</v>
      </c>
      <c r="B4" s="235" t="s">
        <v>605</v>
      </c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75"/>
      <c r="Q4" s="75"/>
    </row>
    <row r="5" ht="18.0" customHeight="1">
      <c r="A5" s="234">
        <v>104627.0</v>
      </c>
      <c r="B5" s="235" t="s">
        <v>606</v>
      </c>
      <c r="C5" s="283">
        <v>26.51</v>
      </c>
      <c r="D5" s="284"/>
      <c r="E5" s="285">
        <v>46081.0</v>
      </c>
      <c r="F5" s="284"/>
      <c r="G5" s="284"/>
      <c r="H5" s="285">
        <v>46172.0</v>
      </c>
      <c r="I5" s="284"/>
      <c r="J5" s="284"/>
      <c r="K5" s="285">
        <v>46265.0</v>
      </c>
      <c r="L5" s="284"/>
      <c r="M5" s="284"/>
      <c r="N5" s="285">
        <v>46356.0</v>
      </c>
      <c r="O5" s="284"/>
      <c r="P5" s="75"/>
      <c r="Q5" s="75"/>
    </row>
    <row r="6">
      <c r="A6" s="102"/>
      <c r="B6" s="102"/>
      <c r="C6" s="286">
        <f>SUM(C3:C5)</f>
        <v>4771.37</v>
      </c>
      <c r="D6" s="102"/>
      <c r="E6" s="102"/>
      <c r="F6" s="102"/>
      <c r="G6" s="102"/>
      <c r="H6" s="248"/>
      <c r="I6" s="248"/>
      <c r="J6" s="248"/>
      <c r="K6" s="248"/>
      <c r="L6" s="248"/>
      <c r="M6" s="75"/>
      <c r="N6" s="75"/>
      <c r="O6" s="75"/>
      <c r="P6" s="75"/>
      <c r="Q6" s="75"/>
    </row>
    <row r="7">
      <c r="A7" s="249"/>
      <c r="B7" s="249"/>
      <c r="C7" s="249"/>
      <c r="D7" s="249"/>
      <c r="E7" s="249"/>
      <c r="F7" s="250"/>
      <c r="G7" s="251"/>
      <c r="H7" s="252"/>
      <c r="I7" s="252"/>
      <c r="J7" s="252"/>
      <c r="K7" s="252"/>
      <c r="L7" s="252"/>
      <c r="M7" s="253"/>
      <c r="N7" s="253"/>
    </row>
    <row r="8">
      <c r="A8" s="249"/>
      <c r="B8" s="249"/>
      <c r="C8" s="249"/>
      <c r="D8" s="249"/>
      <c r="E8" s="249"/>
      <c r="F8" s="250"/>
      <c r="G8" s="251"/>
      <c r="H8" s="252"/>
      <c r="I8" s="252"/>
      <c r="J8" s="252"/>
      <c r="K8" s="252"/>
      <c r="L8" s="252"/>
      <c r="M8" s="253"/>
      <c r="N8" s="253"/>
      <c r="P8" s="75"/>
      <c r="Q8" s="75"/>
    </row>
    <row r="9" ht="26.25" customHeight="1">
      <c r="A9" s="287" t="s">
        <v>607</v>
      </c>
      <c r="B9" s="218"/>
      <c r="D9" s="275"/>
      <c r="H9" s="10"/>
      <c r="I9" s="10"/>
      <c r="J9" s="10"/>
      <c r="K9" s="10"/>
      <c r="L9" s="10"/>
      <c r="M9" s="10"/>
      <c r="N9" s="10"/>
      <c r="P9" s="75"/>
      <c r="Q9" s="75"/>
    </row>
    <row r="10" ht="21.0" customHeight="1">
      <c r="A10" s="276" t="s">
        <v>590</v>
      </c>
      <c r="B10" s="276" t="s">
        <v>591</v>
      </c>
      <c r="C10" s="276" t="s">
        <v>29</v>
      </c>
      <c r="D10" s="276" t="s">
        <v>592</v>
      </c>
      <c r="E10" s="276" t="s">
        <v>593</v>
      </c>
      <c r="F10" s="276" t="s">
        <v>594</v>
      </c>
      <c r="G10" s="276" t="s">
        <v>595</v>
      </c>
      <c r="H10" s="276" t="s">
        <v>596</v>
      </c>
      <c r="I10" s="276" t="s">
        <v>597</v>
      </c>
      <c r="J10" s="276" t="s">
        <v>598</v>
      </c>
      <c r="K10" s="276" t="s">
        <v>599</v>
      </c>
      <c r="L10" s="276" t="s">
        <v>600</v>
      </c>
      <c r="M10" s="276" t="s">
        <v>601</v>
      </c>
      <c r="N10" s="276" t="s">
        <v>602</v>
      </c>
      <c r="O10" s="276" t="s">
        <v>603</v>
      </c>
    </row>
    <row r="11" ht="18.0" customHeight="1">
      <c r="A11" s="234">
        <v>78232.0</v>
      </c>
      <c r="B11" s="235" t="s">
        <v>604</v>
      </c>
      <c r="C11" s="283">
        <v>1644.26</v>
      </c>
      <c r="D11" s="285">
        <v>46081.0</v>
      </c>
      <c r="E11" s="285">
        <v>46081.0</v>
      </c>
      <c r="F11" s="285">
        <v>46112.0</v>
      </c>
      <c r="G11" s="285">
        <v>46142.0</v>
      </c>
      <c r="H11" s="285">
        <v>46172.0</v>
      </c>
      <c r="I11" s="285">
        <v>46203.0</v>
      </c>
      <c r="J11" s="285">
        <v>46234.0</v>
      </c>
      <c r="K11" s="285">
        <v>46265.0</v>
      </c>
      <c r="L11" s="285">
        <v>46295.0</v>
      </c>
      <c r="M11" s="285">
        <v>46326.0</v>
      </c>
      <c r="N11" s="285">
        <v>46356.0</v>
      </c>
      <c r="O11" s="285">
        <v>46387.0</v>
      </c>
      <c r="P11" s="75"/>
      <c r="Q11" s="75"/>
    </row>
    <row r="12" ht="18.0" customHeight="1">
      <c r="A12" s="234">
        <v>45563.0</v>
      </c>
      <c r="B12" s="235" t="s">
        <v>605</v>
      </c>
      <c r="C12" s="283">
        <v>269.47</v>
      </c>
      <c r="D12" s="285">
        <v>46081.0</v>
      </c>
      <c r="E12" s="285">
        <v>46081.0</v>
      </c>
      <c r="F12" s="285">
        <v>46112.0</v>
      </c>
      <c r="G12" s="285">
        <v>46142.0</v>
      </c>
      <c r="H12" s="285">
        <v>46172.0</v>
      </c>
      <c r="I12" s="285">
        <v>46203.0</v>
      </c>
      <c r="J12" s="285">
        <v>46234.0</v>
      </c>
      <c r="K12" s="285">
        <v>46265.0</v>
      </c>
      <c r="L12" s="285">
        <v>46295.0</v>
      </c>
      <c r="M12" s="285">
        <v>46326.0</v>
      </c>
      <c r="N12" s="285">
        <v>46356.0</v>
      </c>
      <c r="O12" s="285">
        <v>46387.0</v>
      </c>
      <c r="P12" s="75"/>
      <c r="Q12" s="75"/>
    </row>
    <row r="13" ht="18.0" customHeight="1">
      <c r="A13" s="234">
        <v>104627.0</v>
      </c>
      <c r="B13" s="235" t="s">
        <v>606</v>
      </c>
      <c r="C13" s="283">
        <v>33.83</v>
      </c>
      <c r="D13" s="285">
        <v>46081.0</v>
      </c>
      <c r="E13" s="285">
        <v>46081.0</v>
      </c>
      <c r="F13" s="285">
        <v>46112.0</v>
      </c>
      <c r="G13" s="285">
        <v>46142.0</v>
      </c>
      <c r="H13" s="285">
        <v>46172.0</v>
      </c>
      <c r="I13" s="285">
        <v>46203.0</v>
      </c>
      <c r="J13" s="285">
        <v>46234.0</v>
      </c>
      <c r="K13" s="285">
        <v>46265.0</v>
      </c>
      <c r="L13" s="285">
        <v>46295.0</v>
      </c>
      <c r="M13" s="285">
        <v>46326.0</v>
      </c>
      <c r="N13" s="285">
        <v>46356.0</v>
      </c>
      <c r="O13" s="285">
        <v>46387.0</v>
      </c>
      <c r="P13" s="75"/>
      <c r="Q13" s="75"/>
    </row>
    <row r="14">
      <c r="A14" s="102"/>
      <c r="B14" s="102"/>
      <c r="C14" s="286">
        <f>SUM(C11:C13)</f>
        <v>1947.56</v>
      </c>
      <c r="D14" s="102"/>
      <c r="E14" s="102"/>
      <c r="F14" s="102"/>
      <c r="G14" s="102"/>
      <c r="H14" s="248"/>
      <c r="I14" s="248"/>
      <c r="J14" s="248"/>
      <c r="K14" s="248"/>
      <c r="L14" s="248"/>
      <c r="M14" s="75"/>
      <c r="N14" s="75"/>
      <c r="O14" s="75"/>
      <c r="P14" s="75"/>
      <c r="Q14" s="75"/>
    </row>
    <row r="15">
      <c r="A15" s="249"/>
      <c r="B15" s="249"/>
      <c r="C15" s="249"/>
      <c r="D15" s="249"/>
      <c r="E15" s="249"/>
      <c r="F15" s="250"/>
      <c r="G15" s="251"/>
      <c r="H15" s="252"/>
      <c r="I15" s="252"/>
      <c r="J15" s="252"/>
      <c r="K15" s="252"/>
      <c r="L15" s="252"/>
      <c r="M15" s="253"/>
      <c r="N15" s="253"/>
      <c r="P15" s="75"/>
      <c r="Q15" s="75"/>
    </row>
    <row r="16">
      <c r="D16" s="249"/>
      <c r="E16" s="249"/>
      <c r="F16" s="250"/>
      <c r="G16" s="251"/>
      <c r="H16" s="252"/>
      <c r="I16" s="252"/>
      <c r="J16" s="252"/>
      <c r="K16" s="252"/>
      <c r="L16" s="252"/>
    </row>
    <row r="17">
      <c r="A17" s="249"/>
      <c r="B17" s="249"/>
      <c r="C17" s="249"/>
      <c r="D17" s="249"/>
      <c r="E17" s="249"/>
      <c r="F17" s="250"/>
      <c r="G17" s="251"/>
      <c r="H17" s="253"/>
      <c r="I17" s="253"/>
      <c r="J17" s="253"/>
      <c r="K17" s="253"/>
      <c r="L17" s="253"/>
      <c r="M17" s="253"/>
      <c r="N17" s="253"/>
    </row>
    <row r="18">
      <c r="A18" s="249"/>
      <c r="B18" s="249"/>
      <c r="C18" s="249"/>
      <c r="D18" s="249"/>
      <c r="E18" s="249"/>
      <c r="F18" s="250"/>
      <c r="G18" s="251"/>
      <c r="H18" s="253"/>
      <c r="I18" s="253"/>
      <c r="J18" s="253"/>
      <c r="K18" s="253"/>
      <c r="L18" s="253"/>
      <c r="M18" s="253"/>
      <c r="N18" s="253"/>
    </row>
    <row r="19">
      <c r="A19" s="249"/>
      <c r="B19" s="249"/>
      <c r="C19" s="249"/>
      <c r="D19" s="249"/>
      <c r="E19" s="249"/>
      <c r="F19" s="250"/>
      <c r="G19" s="251"/>
      <c r="H19" s="253"/>
      <c r="I19" s="253"/>
      <c r="J19" s="253"/>
      <c r="K19" s="253"/>
      <c r="L19" s="253"/>
      <c r="M19" s="253"/>
      <c r="N19" s="253"/>
    </row>
    <row r="20" ht="15.75" customHeight="1">
      <c r="A20" s="249"/>
      <c r="B20" s="249"/>
      <c r="C20" s="249"/>
      <c r="D20" s="249"/>
      <c r="E20" s="249"/>
      <c r="F20" s="250"/>
      <c r="G20" s="251"/>
      <c r="H20" s="253"/>
      <c r="I20" s="253"/>
      <c r="J20" s="253"/>
      <c r="K20" s="253"/>
      <c r="L20" s="253"/>
      <c r="M20" s="253"/>
      <c r="N20" s="253"/>
    </row>
    <row r="21" ht="15.75" customHeight="1">
      <c r="A21" s="249"/>
      <c r="B21" s="249"/>
      <c r="C21" s="249"/>
      <c r="D21" s="249"/>
      <c r="E21" s="249"/>
      <c r="F21" s="250"/>
      <c r="G21" s="251"/>
      <c r="H21" s="253"/>
      <c r="I21" s="253"/>
      <c r="J21" s="253"/>
      <c r="K21" s="253"/>
      <c r="L21" s="253"/>
      <c r="M21" s="253"/>
      <c r="N21" s="253"/>
    </row>
    <row r="22" ht="15.75" customHeight="1">
      <c r="A22" s="249"/>
      <c r="B22" s="249"/>
      <c r="C22" s="249"/>
      <c r="D22" s="249"/>
      <c r="E22" s="249"/>
      <c r="F22" s="249"/>
      <c r="G22" s="249"/>
      <c r="H22" s="253"/>
      <c r="I22" s="253"/>
      <c r="J22" s="253"/>
      <c r="K22" s="253"/>
      <c r="L22" s="253"/>
      <c r="M22" s="253"/>
      <c r="N22" s="253"/>
    </row>
    <row r="23" ht="15.75" customHeight="1">
      <c r="A23" s="249"/>
      <c r="B23" s="249"/>
      <c r="C23" s="249"/>
      <c r="D23" s="249"/>
      <c r="E23" s="249"/>
      <c r="F23" s="249"/>
      <c r="G23" s="249"/>
      <c r="H23" s="253"/>
      <c r="I23" s="253"/>
      <c r="J23" s="253"/>
      <c r="K23" s="253"/>
      <c r="L23" s="253"/>
      <c r="M23" s="253"/>
      <c r="N23" s="253"/>
    </row>
    <row r="24" ht="15.75" customHeight="1">
      <c r="A24" s="249"/>
      <c r="B24" s="249"/>
      <c r="C24" s="249"/>
      <c r="D24" s="249"/>
      <c r="E24" s="249"/>
      <c r="F24" s="249"/>
      <c r="G24" s="249"/>
      <c r="H24" s="253"/>
      <c r="I24" s="253"/>
      <c r="J24" s="253"/>
      <c r="K24" s="253"/>
      <c r="L24" s="253"/>
      <c r="M24" s="253"/>
      <c r="N24" s="253"/>
    </row>
    <row r="25" ht="15.75" customHeight="1">
      <c r="A25" s="249"/>
      <c r="B25" s="249"/>
      <c r="C25" s="249"/>
      <c r="D25" s="249"/>
      <c r="E25" s="249"/>
      <c r="F25" s="249"/>
      <c r="G25" s="249"/>
      <c r="H25" s="253"/>
      <c r="I25" s="253"/>
      <c r="J25" s="253"/>
      <c r="K25" s="253"/>
      <c r="L25" s="253"/>
      <c r="M25" s="253"/>
      <c r="N25" s="253"/>
    </row>
    <row r="26" ht="15.75" customHeight="1">
      <c r="A26" s="249"/>
      <c r="B26" s="249"/>
      <c r="C26" s="249"/>
      <c r="D26" s="249"/>
      <c r="E26" s="249"/>
      <c r="F26" s="249"/>
      <c r="G26" s="249"/>
      <c r="H26" s="253"/>
      <c r="I26" s="253"/>
      <c r="J26" s="253"/>
      <c r="K26" s="253"/>
      <c r="L26" s="253"/>
      <c r="M26" s="253"/>
      <c r="N26" s="253"/>
    </row>
    <row r="27" ht="15.75" customHeight="1">
      <c r="A27" s="249"/>
      <c r="B27" s="249"/>
      <c r="C27" s="249"/>
      <c r="D27" s="249"/>
      <c r="E27" s="249"/>
      <c r="F27" s="249"/>
      <c r="G27" s="249"/>
      <c r="H27" s="253"/>
      <c r="I27" s="253"/>
      <c r="J27" s="253"/>
      <c r="K27" s="253"/>
      <c r="L27" s="253"/>
      <c r="M27" s="253"/>
      <c r="N27" s="253"/>
    </row>
    <row r="28" ht="15.75" customHeight="1">
      <c r="A28" s="249"/>
      <c r="B28" s="249"/>
      <c r="C28" s="249"/>
      <c r="D28" s="249"/>
      <c r="E28" s="249"/>
      <c r="F28" s="249"/>
      <c r="G28" s="249"/>
      <c r="H28" s="253"/>
      <c r="I28" s="253"/>
      <c r="J28" s="253"/>
      <c r="K28" s="253"/>
      <c r="L28" s="253"/>
      <c r="M28" s="253"/>
      <c r="N28" s="253"/>
    </row>
    <row r="29" ht="15.75" customHeight="1">
      <c r="A29" s="249"/>
      <c r="B29" s="249"/>
      <c r="C29" s="249"/>
      <c r="D29" s="249"/>
      <c r="E29" s="249"/>
      <c r="F29" s="249"/>
      <c r="G29" s="249"/>
      <c r="H29" s="253"/>
      <c r="I29" s="253"/>
      <c r="J29" s="253"/>
      <c r="K29" s="253"/>
      <c r="L29" s="253"/>
      <c r="M29" s="253"/>
      <c r="N29" s="253"/>
    </row>
    <row r="30" ht="15.75" customHeight="1">
      <c r="A30" s="249"/>
      <c r="B30" s="249"/>
      <c r="C30" s="249"/>
      <c r="D30" s="249"/>
      <c r="E30" s="249"/>
      <c r="F30" s="249"/>
      <c r="G30" s="249"/>
      <c r="H30" s="253"/>
      <c r="I30" s="253"/>
      <c r="J30" s="253"/>
      <c r="K30" s="253"/>
      <c r="L30" s="253"/>
      <c r="M30" s="253"/>
      <c r="N30" s="253"/>
    </row>
    <row r="31" ht="15.75" customHeight="1">
      <c r="A31" s="249"/>
      <c r="B31" s="249"/>
      <c r="C31" s="249"/>
      <c r="D31" s="249"/>
      <c r="E31" s="249"/>
      <c r="F31" s="249"/>
      <c r="G31" s="249"/>
      <c r="H31" s="253"/>
      <c r="I31" s="253"/>
      <c r="J31" s="253"/>
      <c r="K31" s="253"/>
      <c r="L31" s="253"/>
      <c r="M31" s="253"/>
      <c r="N31" s="253"/>
    </row>
    <row r="32" ht="15.75" customHeight="1">
      <c r="A32" s="249"/>
      <c r="B32" s="249"/>
      <c r="C32" s="249"/>
      <c r="D32" s="249"/>
      <c r="E32" s="249"/>
      <c r="F32" s="249"/>
      <c r="G32" s="249"/>
      <c r="H32" s="253"/>
      <c r="I32" s="253"/>
      <c r="J32" s="253"/>
      <c r="K32" s="253"/>
      <c r="L32" s="253"/>
      <c r="M32" s="253"/>
      <c r="N32" s="253" t="s">
        <v>535</v>
      </c>
    </row>
    <row r="33" ht="15.75" customHeight="1">
      <c r="A33" s="249"/>
      <c r="B33" s="249"/>
      <c r="C33" s="249"/>
      <c r="D33" s="249"/>
      <c r="E33" s="249"/>
      <c r="F33" s="249"/>
      <c r="G33" s="249"/>
      <c r="H33" s="253"/>
      <c r="I33" s="253"/>
      <c r="J33" s="253"/>
      <c r="K33" s="253"/>
      <c r="L33" s="253"/>
      <c r="M33" s="253"/>
      <c r="N33" s="253"/>
    </row>
    <row r="34" ht="15.75" customHeight="1">
      <c r="A34" s="249"/>
      <c r="B34" s="249"/>
      <c r="C34" s="249"/>
      <c r="D34" s="249"/>
      <c r="E34" s="249"/>
      <c r="F34" s="249"/>
      <c r="G34" s="249"/>
      <c r="H34" s="253"/>
      <c r="I34" s="253"/>
      <c r="J34" s="253"/>
      <c r="K34" s="253"/>
      <c r="L34" s="253"/>
      <c r="M34" s="253"/>
      <c r="N34" s="253"/>
    </row>
    <row r="35" ht="15.75" customHeight="1">
      <c r="A35" s="249"/>
      <c r="B35" s="249"/>
      <c r="C35" s="249"/>
      <c r="D35" s="249"/>
      <c r="E35" s="249"/>
      <c r="F35" s="249"/>
      <c r="G35" s="249"/>
      <c r="H35" s="253"/>
      <c r="I35" s="253"/>
      <c r="J35" s="253"/>
      <c r="K35" s="253"/>
      <c r="L35" s="253"/>
      <c r="M35" s="253"/>
      <c r="N35" s="253"/>
    </row>
    <row r="36" ht="15.75" customHeight="1">
      <c r="A36" s="249"/>
      <c r="B36" s="249"/>
      <c r="C36" s="249"/>
      <c r="D36" s="249"/>
      <c r="E36" s="249"/>
      <c r="F36" s="249"/>
      <c r="G36" s="249"/>
      <c r="H36" s="253"/>
      <c r="I36" s="253"/>
      <c r="J36" s="253"/>
      <c r="K36" s="253"/>
      <c r="L36" s="253"/>
      <c r="M36" s="253"/>
      <c r="N36" s="253"/>
    </row>
    <row r="37" ht="15.75" customHeight="1">
      <c r="A37" s="249"/>
      <c r="B37" s="249"/>
      <c r="C37" s="249"/>
      <c r="D37" s="249"/>
      <c r="E37" s="249"/>
      <c r="F37" s="249"/>
      <c r="G37" s="249"/>
      <c r="H37" s="253"/>
      <c r="I37" s="253"/>
      <c r="J37" s="253"/>
      <c r="K37" s="253"/>
      <c r="L37" s="253"/>
      <c r="M37" s="253"/>
      <c r="N37" s="253"/>
    </row>
    <row r="38" ht="15.75" customHeight="1">
      <c r="A38" s="249"/>
      <c r="B38" s="249"/>
      <c r="C38" s="249"/>
      <c r="D38" s="249"/>
      <c r="E38" s="249"/>
      <c r="F38" s="249"/>
      <c r="G38" s="249"/>
      <c r="H38" s="253"/>
      <c r="I38" s="253"/>
      <c r="J38" s="253"/>
      <c r="K38" s="253"/>
      <c r="L38" s="253"/>
      <c r="M38" s="253"/>
      <c r="N38" s="253"/>
    </row>
    <row r="39" ht="15.75" customHeight="1">
      <c r="A39" s="12"/>
      <c r="B39" s="12"/>
      <c r="C39" s="12"/>
      <c r="D39" s="12"/>
      <c r="E39" s="12"/>
      <c r="F39" s="12"/>
      <c r="G39" s="12"/>
    </row>
    <row r="40" ht="15.75" customHeight="1">
      <c r="A40" s="12"/>
      <c r="B40" s="12"/>
      <c r="C40" s="12"/>
      <c r="D40" s="12"/>
      <c r="E40" s="12"/>
      <c r="F40" s="12"/>
      <c r="G40" s="12"/>
    </row>
    <row r="41" ht="15.75" customHeight="1">
      <c r="A41" s="12"/>
      <c r="B41" s="12"/>
      <c r="C41" s="12"/>
      <c r="D41" s="12"/>
      <c r="E41" s="12"/>
      <c r="F41" s="12"/>
      <c r="G41" s="12"/>
    </row>
    <row r="42" ht="15.75" customHeight="1">
      <c r="A42" s="12"/>
      <c r="B42" s="12"/>
      <c r="C42" s="12"/>
      <c r="D42" s="12"/>
      <c r="E42" s="12"/>
      <c r="F42" s="12"/>
      <c r="G42" s="12"/>
    </row>
    <row r="43" ht="15.75" customHeight="1">
      <c r="A43" s="12"/>
      <c r="B43" s="12"/>
      <c r="C43" s="12"/>
      <c r="D43" s="12"/>
      <c r="E43" s="12"/>
      <c r="F43" s="12"/>
      <c r="G43" s="12"/>
    </row>
    <row r="44" ht="15.75" customHeight="1">
      <c r="A44" s="12"/>
      <c r="B44" s="12"/>
      <c r="C44" s="12"/>
      <c r="D44" s="12"/>
      <c r="E44" s="12"/>
      <c r="F44" s="12"/>
      <c r="G44" s="12"/>
    </row>
    <row r="45" ht="15.75" customHeight="1">
      <c r="A45" s="12"/>
      <c r="B45" s="12"/>
      <c r="C45" s="12"/>
      <c r="D45" s="12"/>
      <c r="E45" s="12"/>
      <c r="F45" s="12"/>
      <c r="G45" s="12"/>
    </row>
    <row r="46" ht="15.75" customHeight="1">
      <c r="A46" s="12"/>
      <c r="B46" s="12"/>
      <c r="C46" s="12"/>
      <c r="D46" s="12"/>
      <c r="E46" s="12"/>
      <c r="F46" s="12"/>
      <c r="G46" s="12"/>
    </row>
    <row r="47" ht="15.75" customHeight="1">
      <c r="A47" s="12"/>
      <c r="B47" s="12"/>
      <c r="C47" s="12"/>
      <c r="D47" s="12"/>
      <c r="E47" s="12"/>
      <c r="F47" s="12"/>
      <c r="G47" s="12"/>
    </row>
    <row r="48" ht="15.75" customHeight="1">
      <c r="A48" s="12"/>
      <c r="B48" s="12"/>
      <c r="C48" s="12"/>
      <c r="D48" s="12"/>
      <c r="E48" s="12"/>
      <c r="F48" s="12"/>
      <c r="G48" s="12"/>
    </row>
    <row r="49" ht="15.75" customHeight="1">
      <c r="A49" s="12"/>
      <c r="B49" s="12"/>
      <c r="C49" s="12"/>
      <c r="D49" s="12"/>
      <c r="E49" s="12"/>
      <c r="F49" s="12"/>
      <c r="G49" s="12"/>
    </row>
    <row r="50" ht="15.75" customHeight="1">
      <c r="A50" s="12"/>
      <c r="B50" s="12"/>
      <c r="C50" s="12"/>
      <c r="D50" s="12"/>
      <c r="E50" s="12"/>
      <c r="F50" s="12"/>
      <c r="G50" s="12"/>
    </row>
    <row r="51" ht="15.75" customHeight="1">
      <c r="A51" s="12"/>
      <c r="B51" s="12"/>
      <c r="C51" s="12"/>
      <c r="D51" s="12"/>
      <c r="E51" s="12"/>
      <c r="F51" s="12"/>
      <c r="G51" s="12"/>
    </row>
    <row r="52" ht="15.75" customHeight="1">
      <c r="A52" s="12"/>
      <c r="B52" s="12"/>
      <c r="C52" s="12"/>
      <c r="D52" s="12"/>
      <c r="E52" s="12"/>
      <c r="F52" s="12"/>
      <c r="G52" s="12"/>
    </row>
    <row r="53" ht="15.75" customHeight="1">
      <c r="A53" s="12"/>
      <c r="B53" s="12"/>
      <c r="C53" s="12"/>
      <c r="D53" s="12"/>
      <c r="E53" s="12"/>
      <c r="F53" s="12"/>
      <c r="G53" s="12"/>
    </row>
    <row r="54" ht="15.75" customHeight="1">
      <c r="A54" s="12"/>
      <c r="B54" s="12"/>
      <c r="C54" s="12"/>
      <c r="D54" s="12"/>
      <c r="E54" s="12"/>
      <c r="F54" s="12"/>
      <c r="G54" s="12"/>
    </row>
    <row r="55" ht="15.75" customHeight="1">
      <c r="A55" s="12"/>
      <c r="B55" s="12"/>
      <c r="C55" s="12"/>
      <c r="D55" s="12"/>
      <c r="E55" s="12"/>
      <c r="F55" s="12"/>
      <c r="G55" s="12"/>
    </row>
    <row r="56" ht="15.75" customHeight="1">
      <c r="A56" s="12"/>
      <c r="B56" s="12"/>
      <c r="C56" s="12"/>
      <c r="D56" s="12"/>
      <c r="E56" s="12"/>
      <c r="F56" s="12"/>
      <c r="G56" s="12"/>
    </row>
    <row r="57" ht="15.75" customHeight="1">
      <c r="A57" s="12"/>
      <c r="B57" s="12"/>
      <c r="C57" s="12"/>
      <c r="D57" s="12"/>
      <c r="E57" s="12"/>
      <c r="F57" s="12"/>
      <c r="G57" s="12"/>
    </row>
    <row r="58" ht="15.75" customHeight="1">
      <c r="A58" s="12"/>
      <c r="B58" s="12"/>
      <c r="C58" s="12"/>
      <c r="D58" s="12"/>
      <c r="E58" s="12"/>
      <c r="F58" s="12"/>
      <c r="G58" s="12"/>
    </row>
    <row r="59" ht="15.75" customHeight="1">
      <c r="A59" s="12"/>
      <c r="B59" s="12"/>
      <c r="C59" s="12"/>
      <c r="D59" s="12"/>
      <c r="E59" s="12"/>
      <c r="F59" s="12"/>
      <c r="G59" s="12"/>
    </row>
    <row r="60" ht="15.75" customHeight="1">
      <c r="A60" s="12"/>
      <c r="B60" s="12"/>
      <c r="C60" s="12"/>
      <c r="D60" s="12"/>
      <c r="E60" s="12"/>
      <c r="F60" s="12"/>
      <c r="G60" s="12"/>
    </row>
    <row r="61" ht="15.75" customHeight="1">
      <c r="A61" s="12"/>
      <c r="B61" s="12"/>
      <c r="C61" s="12"/>
      <c r="D61" s="12"/>
      <c r="E61" s="12"/>
      <c r="F61" s="12"/>
      <c r="G61" s="12"/>
    </row>
    <row r="62" ht="15.75" customHeight="1">
      <c r="A62" s="12"/>
      <c r="B62" s="12"/>
      <c r="C62" s="12"/>
      <c r="D62" s="12"/>
      <c r="E62" s="12"/>
      <c r="F62" s="12"/>
      <c r="G62" s="12"/>
    </row>
    <row r="63" ht="15.75" customHeight="1">
      <c r="A63" s="12"/>
      <c r="B63" s="12"/>
      <c r="C63" s="12"/>
      <c r="D63" s="12"/>
      <c r="E63" s="12"/>
      <c r="F63" s="12"/>
      <c r="G63" s="12"/>
    </row>
    <row r="64" ht="15.75" customHeight="1">
      <c r="A64" s="12"/>
      <c r="B64" s="12"/>
      <c r="C64" s="12"/>
      <c r="D64" s="12"/>
      <c r="E64" s="12"/>
      <c r="F64" s="12"/>
      <c r="G64" s="12"/>
    </row>
    <row r="65" ht="15.75" customHeight="1">
      <c r="A65" s="12"/>
      <c r="B65" s="12"/>
      <c r="C65" s="12"/>
      <c r="D65" s="12"/>
      <c r="E65" s="12"/>
      <c r="F65" s="12"/>
      <c r="G65" s="12"/>
    </row>
    <row r="66" ht="15.75" customHeight="1">
      <c r="A66" s="12"/>
      <c r="B66" s="12"/>
      <c r="C66" s="12"/>
      <c r="D66" s="12"/>
      <c r="E66" s="12"/>
      <c r="F66" s="12"/>
      <c r="G66" s="12"/>
    </row>
    <row r="67" ht="15.75" customHeight="1">
      <c r="A67" s="12"/>
      <c r="B67" s="12"/>
      <c r="C67" s="12"/>
      <c r="D67" s="12"/>
      <c r="E67" s="12"/>
      <c r="F67" s="12"/>
      <c r="G67" s="12"/>
    </row>
    <row r="68" ht="15.75" customHeight="1">
      <c r="A68" s="12"/>
      <c r="B68" s="12"/>
      <c r="C68" s="12"/>
      <c r="D68" s="12"/>
      <c r="E68" s="12"/>
      <c r="F68" s="12"/>
      <c r="G68" s="12"/>
    </row>
    <row r="69" ht="15.75" customHeight="1">
      <c r="A69" s="12"/>
      <c r="B69" s="12"/>
      <c r="C69" s="12"/>
      <c r="D69" s="12"/>
      <c r="E69" s="12"/>
      <c r="F69" s="12"/>
      <c r="G69" s="12"/>
    </row>
    <row r="70" ht="15.75" customHeight="1">
      <c r="A70" s="12"/>
      <c r="B70" s="12"/>
      <c r="C70" s="12"/>
      <c r="D70" s="12"/>
      <c r="E70" s="12"/>
      <c r="F70" s="12"/>
      <c r="G70" s="12"/>
    </row>
    <row r="71" ht="15.75" customHeight="1">
      <c r="A71" s="12"/>
      <c r="B71" s="12"/>
      <c r="C71" s="12"/>
      <c r="D71" s="12"/>
      <c r="E71" s="12"/>
      <c r="F71" s="12"/>
      <c r="G71" s="12"/>
    </row>
    <row r="72" ht="15.75" customHeight="1">
      <c r="A72" s="12"/>
      <c r="B72" s="12"/>
      <c r="C72" s="12"/>
      <c r="D72" s="12"/>
      <c r="E72" s="12"/>
      <c r="F72" s="12"/>
      <c r="G72" s="12"/>
    </row>
    <row r="73" ht="15.75" customHeight="1">
      <c r="A73" s="12"/>
      <c r="B73" s="12"/>
      <c r="C73" s="12"/>
      <c r="D73" s="12"/>
      <c r="E73" s="12"/>
      <c r="F73" s="12"/>
      <c r="G73" s="12"/>
    </row>
    <row r="74" ht="15.75" customHeight="1">
      <c r="A74" s="12"/>
      <c r="B74" s="12"/>
      <c r="C74" s="12"/>
      <c r="D74" s="12"/>
      <c r="E74" s="12"/>
      <c r="F74" s="12"/>
      <c r="G74" s="12"/>
    </row>
    <row r="75" ht="15.75" customHeight="1">
      <c r="A75" s="12"/>
      <c r="B75" s="12"/>
      <c r="C75" s="12"/>
      <c r="D75" s="12"/>
      <c r="E75" s="12"/>
      <c r="F75" s="12"/>
      <c r="G75" s="12"/>
    </row>
    <row r="76" ht="15.75" customHeight="1">
      <c r="A76" s="12"/>
      <c r="B76" s="12"/>
      <c r="C76" s="12"/>
      <c r="D76" s="12"/>
      <c r="E76" s="12"/>
      <c r="F76" s="12"/>
      <c r="G76" s="12"/>
    </row>
    <row r="77" ht="15.75" customHeight="1">
      <c r="A77" s="12"/>
      <c r="B77" s="12"/>
      <c r="C77" s="12"/>
      <c r="D77" s="12"/>
      <c r="E77" s="12"/>
      <c r="F77" s="12"/>
      <c r="G77" s="12"/>
    </row>
    <row r="78" ht="15.75" customHeight="1">
      <c r="A78" s="12"/>
      <c r="B78" s="12"/>
      <c r="C78" s="12"/>
      <c r="D78" s="12"/>
      <c r="E78" s="12"/>
      <c r="F78" s="12"/>
      <c r="G78" s="12"/>
    </row>
    <row r="79" ht="15.75" customHeight="1">
      <c r="A79" s="12"/>
      <c r="B79" s="12"/>
      <c r="C79" s="12"/>
      <c r="D79" s="12"/>
      <c r="E79" s="12"/>
      <c r="F79" s="12"/>
      <c r="G79" s="12"/>
    </row>
    <row r="80" ht="15.75" customHeight="1">
      <c r="A80" s="12"/>
      <c r="B80" s="12"/>
      <c r="C80" s="12"/>
      <c r="D80" s="12"/>
      <c r="E80" s="12"/>
      <c r="F80" s="12"/>
      <c r="G80" s="12"/>
    </row>
    <row r="81" ht="15.75" customHeight="1">
      <c r="A81" s="12"/>
      <c r="B81" s="12"/>
      <c r="C81" s="12"/>
      <c r="D81" s="12"/>
      <c r="E81" s="12"/>
      <c r="F81" s="12"/>
      <c r="G81" s="12"/>
    </row>
    <row r="82" ht="15.75" customHeight="1">
      <c r="A82" s="12"/>
      <c r="B82" s="12"/>
      <c r="C82" s="12"/>
      <c r="D82" s="12"/>
      <c r="E82" s="12"/>
      <c r="F82" s="12"/>
      <c r="G82" s="12"/>
    </row>
    <row r="83" ht="15.75" customHeight="1">
      <c r="A83" s="12"/>
      <c r="B83" s="12"/>
      <c r="C83" s="12"/>
      <c r="D83" s="12"/>
      <c r="E83" s="12"/>
      <c r="F83" s="12"/>
      <c r="G83" s="12"/>
    </row>
    <row r="84" ht="15.75" customHeight="1">
      <c r="A84" s="12"/>
      <c r="B84" s="12"/>
      <c r="C84" s="12"/>
      <c r="D84" s="12"/>
      <c r="E84" s="12"/>
      <c r="F84" s="12"/>
      <c r="G84" s="12"/>
    </row>
    <row r="85" ht="15.75" customHeight="1">
      <c r="A85" s="12"/>
      <c r="B85" s="12"/>
      <c r="C85" s="12"/>
      <c r="D85" s="12"/>
      <c r="E85" s="12"/>
      <c r="F85" s="12"/>
      <c r="G85" s="12"/>
    </row>
    <row r="86" ht="15.75" customHeight="1">
      <c r="A86" s="12"/>
      <c r="B86" s="12"/>
      <c r="C86" s="12"/>
      <c r="D86" s="12"/>
      <c r="E86" s="12"/>
      <c r="F86" s="12"/>
      <c r="G86" s="12"/>
    </row>
    <row r="87" ht="15.75" customHeight="1">
      <c r="A87" s="12"/>
      <c r="B87" s="12"/>
      <c r="C87" s="12"/>
      <c r="D87" s="12"/>
      <c r="E87" s="12"/>
      <c r="F87" s="12"/>
      <c r="G87" s="12"/>
    </row>
    <row r="88" ht="15.75" customHeight="1">
      <c r="A88" s="12"/>
      <c r="B88" s="12"/>
      <c r="C88" s="12"/>
      <c r="D88" s="12"/>
      <c r="E88" s="12"/>
      <c r="F88" s="12"/>
      <c r="G88" s="12"/>
    </row>
    <row r="89" ht="15.75" customHeight="1">
      <c r="A89" s="12"/>
      <c r="B89" s="12"/>
      <c r="C89" s="12"/>
      <c r="D89" s="12"/>
      <c r="E89" s="12"/>
      <c r="F89" s="12"/>
      <c r="G89" s="12"/>
    </row>
    <row r="90" ht="15.75" customHeight="1">
      <c r="A90" s="12"/>
      <c r="B90" s="12"/>
      <c r="C90" s="12"/>
      <c r="D90" s="12"/>
      <c r="E90" s="12"/>
      <c r="F90" s="12"/>
      <c r="G90" s="12"/>
    </row>
    <row r="91" ht="15.75" customHeight="1">
      <c r="A91" s="12"/>
      <c r="B91" s="12"/>
      <c r="C91" s="12"/>
      <c r="D91" s="12"/>
      <c r="E91" s="12"/>
      <c r="F91" s="12"/>
      <c r="G91" s="12"/>
    </row>
    <row r="92" ht="15.75" customHeight="1">
      <c r="A92" s="12"/>
      <c r="B92" s="12"/>
      <c r="C92" s="12"/>
      <c r="D92" s="12"/>
      <c r="E92" s="12"/>
      <c r="F92" s="12"/>
      <c r="G92" s="12"/>
    </row>
    <row r="93" ht="15.75" customHeight="1">
      <c r="A93" s="12"/>
      <c r="B93" s="12"/>
      <c r="C93" s="12"/>
      <c r="D93" s="12"/>
      <c r="E93" s="12"/>
      <c r="F93" s="12"/>
      <c r="G93" s="12"/>
    </row>
    <row r="94" ht="15.75" customHeight="1">
      <c r="A94" s="12"/>
      <c r="B94" s="12"/>
      <c r="C94" s="12"/>
      <c r="D94" s="12"/>
      <c r="E94" s="12"/>
      <c r="F94" s="12"/>
      <c r="G94" s="12"/>
    </row>
    <row r="95" ht="15.75" customHeight="1">
      <c r="A95" s="12"/>
      <c r="B95" s="12"/>
      <c r="C95" s="12"/>
      <c r="D95" s="12"/>
      <c r="E95" s="12"/>
      <c r="F95" s="12"/>
      <c r="G95" s="12"/>
    </row>
    <row r="96" ht="15.75" customHeight="1">
      <c r="A96" s="12"/>
      <c r="B96" s="12"/>
      <c r="C96" s="12"/>
      <c r="D96" s="12"/>
      <c r="E96" s="12"/>
      <c r="F96" s="12"/>
      <c r="G96" s="12"/>
    </row>
    <row r="97" ht="15.75" customHeight="1">
      <c r="A97" s="12"/>
      <c r="B97" s="12"/>
      <c r="C97" s="12"/>
      <c r="D97" s="12"/>
      <c r="E97" s="12"/>
      <c r="F97" s="12"/>
      <c r="G97" s="12"/>
    </row>
    <row r="98" ht="15.75" customHeight="1">
      <c r="A98" s="12"/>
      <c r="B98" s="12"/>
      <c r="C98" s="12"/>
      <c r="D98" s="12"/>
      <c r="E98" s="12"/>
      <c r="F98" s="12"/>
      <c r="G98" s="12"/>
    </row>
    <row r="99" ht="15.75" customHeight="1">
      <c r="A99" s="12"/>
      <c r="B99" s="12"/>
      <c r="C99" s="12"/>
      <c r="D99" s="12"/>
      <c r="E99" s="12"/>
      <c r="F99" s="12"/>
      <c r="G99" s="12"/>
    </row>
    <row r="100" ht="15.75" customHeight="1">
      <c r="A100" s="12"/>
      <c r="B100" s="12"/>
      <c r="C100" s="12"/>
      <c r="D100" s="12"/>
      <c r="E100" s="12"/>
      <c r="F100" s="12"/>
      <c r="G100" s="12"/>
    </row>
    <row r="101" ht="15.75" customHeight="1">
      <c r="A101" s="12"/>
      <c r="B101" s="12"/>
      <c r="C101" s="12"/>
      <c r="D101" s="12"/>
      <c r="E101" s="12"/>
      <c r="F101" s="12"/>
      <c r="G101" s="12"/>
    </row>
    <row r="102" ht="15.75" customHeight="1">
      <c r="A102" s="12"/>
      <c r="B102" s="12"/>
      <c r="C102" s="12"/>
      <c r="D102" s="12"/>
      <c r="E102" s="12"/>
      <c r="F102" s="12"/>
      <c r="G102" s="12"/>
    </row>
    <row r="103" ht="15.75" customHeight="1">
      <c r="A103" s="12"/>
      <c r="B103" s="12"/>
      <c r="C103" s="12"/>
      <c r="D103" s="12"/>
      <c r="E103" s="12"/>
      <c r="F103" s="12"/>
      <c r="G103" s="12"/>
    </row>
    <row r="104" ht="15.75" customHeight="1">
      <c r="A104" s="12"/>
      <c r="B104" s="12"/>
      <c r="C104" s="12"/>
      <c r="D104" s="12"/>
      <c r="E104" s="12"/>
      <c r="F104" s="12"/>
      <c r="G104" s="12"/>
    </row>
    <row r="105" ht="15.75" customHeight="1">
      <c r="A105" s="12"/>
      <c r="B105" s="12"/>
      <c r="C105" s="12"/>
      <c r="D105" s="12"/>
      <c r="E105" s="12"/>
      <c r="F105" s="12"/>
      <c r="G105" s="12"/>
    </row>
    <row r="106" ht="15.75" customHeight="1">
      <c r="A106" s="12"/>
      <c r="B106" s="12"/>
      <c r="C106" s="12"/>
      <c r="D106" s="12"/>
      <c r="E106" s="12"/>
      <c r="F106" s="12"/>
      <c r="G106" s="12"/>
    </row>
    <row r="107" ht="15.75" customHeight="1">
      <c r="A107" s="12"/>
      <c r="B107" s="12"/>
      <c r="C107" s="12"/>
      <c r="D107" s="12"/>
      <c r="E107" s="12"/>
      <c r="F107" s="12"/>
      <c r="G107" s="12"/>
    </row>
    <row r="108" ht="15.75" customHeight="1">
      <c r="A108" s="12"/>
      <c r="B108" s="12"/>
      <c r="C108" s="12"/>
      <c r="D108" s="12"/>
      <c r="E108" s="12"/>
      <c r="F108" s="12"/>
      <c r="G108" s="12"/>
    </row>
    <row r="109" ht="15.75" customHeight="1">
      <c r="A109" s="12"/>
      <c r="B109" s="12"/>
      <c r="C109" s="12"/>
      <c r="D109" s="12"/>
      <c r="E109" s="12"/>
      <c r="F109" s="12"/>
      <c r="G109" s="12"/>
    </row>
    <row r="110" ht="15.75" customHeight="1">
      <c r="A110" s="12"/>
      <c r="B110" s="12"/>
      <c r="C110" s="12"/>
      <c r="D110" s="12"/>
      <c r="E110" s="12"/>
      <c r="F110" s="12"/>
      <c r="G110" s="12"/>
    </row>
    <row r="111" ht="15.75" customHeight="1">
      <c r="A111" s="12"/>
      <c r="B111" s="12"/>
      <c r="C111" s="12"/>
      <c r="D111" s="12"/>
      <c r="E111" s="12"/>
      <c r="F111" s="12"/>
      <c r="G111" s="12"/>
    </row>
    <row r="112" ht="15.75" customHeight="1">
      <c r="A112" s="12"/>
      <c r="B112" s="12"/>
      <c r="C112" s="12"/>
      <c r="D112" s="12"/>
      <c r="E112" s="12"/>
      <c r="F112" s="12"/>
      <c r="G112" s="12"/>
    </row>
    <row r="113" ht="15.75" customHeight="1">
      <c r="A113" s="12"/>
      <c r="B113" s="12"/>
      <c r="C113" s="12"/>
      <c r="D113" s="12"/>
      <c r="E113" s="12"/>
      <c r="F113" s="12"/>
      <c r="G113" s="12"/>
    </row>
    <row r="114" ht="15.75" customHeight="1">
      <c r="A114" s="12"/>
      <c r="B114" s="12"/>
      <c r="C114" s="12"/>
      <c r="D114" s="12"/>
      <c r="E114" s="12"/>
      <c r="F114" s="12"/>
      <c r="G114" s="12"/>
    </row>
    <row r="115" ht="15.75" customHeight="1">
      <c r="A115" s="12"/>
      <c r="B115" s="12"/>
      <c r="C115" s="12"/>
      <c r="D115" s="12"/>
      <c r="E115" s="12"/>
      <c r="F115" s="12"/>
      <c r="G115" s="12"/>
    </row>
    <row r="116" ht="15.75" customHeight="1">
      <c r="A116" s="12"/>
      <c r="B116" s="12"/>
      <c r="C116" s="12"/>
      <c r="D116" s="12"/>
      <c r="E116" s="12"/>
      <c r="F116" s="12"/>
      <c r="G116" s="12"/>
    </row>
    <row r="117" ht="15.75" customHeight="1">
      <c r="A117" s="12"/>
      <c r="B117" s="12"/>
      <c r="C117" s="12"/>
      <c r="D117" s="12"/>
      <c r="E117" s="12"/>
      <c r="F117" s="12"/>
      <c r="G117" s="12"/>
    </row>
    <row r="118" ht="15.75" customHeight="1">
      <c r="A118" s="12"/>
      <c r="B118" s="12"/>
      <c r="C118" s="12"/>
      <c r="D118" s="12"/>
      <c r="E118" s="12"/>
      <c r="F118" s="12"/>
      <c r="G118" s="12"/>
    </row>
    <row r="119" ht="15.75" customHeight="1">
      <c r="A119" s="12"/>
      <c r="B119" s="12"/>
      <c r="C119" s="12"/>
      <c r="D119" s="12"/>
      <c r="E119" s="12"/>
      <c r="F119" s="12"/>
      <c r="G119" s="12"/>
    </row>
    <row r="120" ht="15.75" customHeight="1">
      <c r="A120" s="12"/>
      <c r="B120" s="12"/>
      <c r="C120" s="12"/>
      <c r="D120" s="12"/>
      <c r="E120" s="12"/>
      <c r="F120" s="12"/>
      <c r="G120" s="12"/>
    </row>
    <row r="121" ht="15.75" customHeight="1">
      <c r="A121" s="12"/>
      <c r="B121" s="12"/>
      <c r="C121" s="12"/>
      <c r="D121" s="12"/>
      <c r="E121" s="12"/>
      <c r="F121" s="12"/>
      <c r="G121" s="12"/>
    </row>
    <row r="122" ht="15.75" customHeight="1">
      <c r="A122" s="12"/>
      <c r="B122" s="12"/>
      <c r="C122" s="12"/>
      <c r="D122" s="12"/>
      <c r="E122" s="12"/>
      <c r="F122" s="12"/>
      <c r="G122" s="12"/>
    </row>
    <row r="123" ht="15.75" customHeight="1">
      <c r="A123" s="12"/>
      <c r="B123" s="12"/>
      <c r="C123" s="12"/>
      <c r="D123" s="12"/>
      <c r="E123" s="12"/>
      <c r="F123" s="12"/>
      <c r="G123" s="12"/>
    </row>
    <row r="124" ht="15.75" customHeight="1">
      <c r="A124" s="12"/>
      <c r="B124" s="12"/>
      <c r="C124" s="12"/>
      <c r="D124" s="12"/>
      <c r="E124" s="12"/>
      <c r="F124" s="12"/>
      <c r="G124" s="12"/>
    </row>
    <row r="125" ht="15.75" customHeight="1">
      <c r="A125" s="12"/>
      <c r="B125" s="12"/>
      <c r="C125" s="12"/>
      <c r="D125" s="12"/>
      <c r="E125" s="12"/>
      <c r="F125" s="12"/>
      <c r="G125" s="12"/>
    </row>
    <row r="126" ht="15.75" customHeight="1">
      <c r="A126" s="12"/>
      <c r="B126" s="12"/>
      <c r="C126" s="12"/>
      <c r="D126" s="12"/>
      <c r="E126" s="12"/>
      <c r="F126" s="12"/>
      <c r="G126" s="12"/>
    </row>
    <row r="127" ht="15.75" customHeight="1">
      <c r="A127" s="12"/>
      <c r="B127" s="12"/>
      <c r="C127" s="12"/>
      <c r="D127" s="12"/>
      <c r="E127" s="12"/>
      <c r="F127" s="12"/>
      <c r="G127" s="12"/>
    </row>
    <row r="128" ht="15.75" customHeight="1">
      <c r="A128" s="12"/>
      <c r="B128" s="12"/>
      <c r="C128" s="12"/>
      <c r="D128" s="12"/>
      <c r="E128" s="12"/>
      <c r="F128" s="12"/>
      <c r="G128" s="12"/>
    </row>
    <row r="129" ht="15.75" customHeight="1">
      <c r="A129" s="12"/>
      <c r="B129" s="12"/>
      <c r="C129" s="12"/>
      <c r="D129" s="12"/>
      <c r="E129" s="12"/>
      <c r="F129" s="12"/>
      <c r="G129" s="12"/>
    </row>
    <row r="130" ht="15.75" customHeight="1">
      <c r="A130" s="12"/>
      <c r="B130" s="12"/>
      <c r="C130" s="12"/>
      <c r="D130" s="12"/>
      <c r="E130" s="12"/>
      <c r="F130" s="12"/>
      <c r="G130" s="12"/>
    </row>
    <row r="131" ht="15.75" customHeight="1">
      <c r="A131" s="12"/>
      <c r="B131" s="12"/>
      <c r="C131" s="12"/>
      <c r="D131" s="12"/>
      <c r="E131" s="12"/>
      <c r="F131" s="12"/>
      <c r="G131" s="12"/>
    </row>
    <row r="132" ht="15.75" customHeight="1">
      <c r="A132" s="12"/>
      <c r="B132" s="12"/>
      <c r="C132" s="12"/>
      <c r="D132" s="12"/>
      <c r="E132" s="12"/>
      <c r="F132" s="12"/>
      <c r="G132" s="12"/>
    </row>
    <row r="133" ht="15.75" customHeight="1">
      <c r="A133" s="12"/>
      <c r="B133" s="12"/>
      <c r="C133" s="12"/>
      <c r="D133" s="12"/>
      <c r="E133" s="12"/>
      <c r="F133" s="12"/>
      <c r="G133" s="12"/>
    </row>
    <row r="134" ht="15.75" customHeight="1">
      <c r="A134" s="12"/>
      <c r="B134" s="12"/>
      <c r="C134" s="12"/>
      <c r="D134" s="12"/>
      <c r="E134" s="12"/>
      <c r="F134" s="12"/>
      <c r="G134" s="12"/>
    </row>
    <row r="135" ht="15.75" customHeight="1">
      <c r="A135" s="12"/>
      <c r="B135" s="12"/>
      <c r="C135" s="12"/>
      <c r="D135" s="12"/>
      <c r="E135" s="12"/>
      <c r="F135" s="12"/>
      <c r="G135" s="12"/>
    </row>
    <row r="136" ht="15.75" customHeight="1">
      <c r="A136" s="12"/>
      <c r="B136" s="12"/>
      <c r="C136" s="12"/>
      <c r="D136" s="12"/>
      <c r="E136" s="12"/>
      <c r="F136" s="12"/>
      <c r="G136" s="12"/>
    </row>
    <row r="137" ht="15.75" customHeight="1">
      <c r="A137" s="12"/>
      <c r="B137" s="12"/>
      <c r="C137" s="12"/>
      <c r="D137" s="12"/>
      <c r="E137" s="12"/>
      <c r="F137" s="12"/>
      <c r="G137" s="12"/>
    </row>
    <row r="138" ht="15.75" customHeight="1">
      <c r="A138" s="12"/>
      <c r="B138" s="12"/>
      <c r="C138" s="12"/>
      <c r="D138" s="12"/>
      <c r="E138" s="12"/>
      <c r="F138" s="12"/>
      <c r="G138" s="12"/>
    </row>
    <row r="139" ht="15.75" customHeight="1">
      <c r="A139" s="12"/>
      <c r="B139" s="12"/>
      <c r="C139" s="12"/>
      <c r="D139" s="12"/>
      <c r="E139" s="12"/>
      <c r="F139" s="12"/>
      <c r="G139" s="12"/>
    </row>
    <row r="140" ht="15.75" customHeight="1">
      <c r="A140" s="12"/>
      <c r="B140" s="12"/>
      <c r="C140" s="12"/>
      <c r="D140" s="12"/>
      <c r="E140" s="12"/>
      <c r="F140" s="12"/>
      <c r="G140" s="12"/>
    </row>
    <row r="141" ht="15.75" customHeight="1">
      <c r="A141" s="12"/>
      <c r="B141" s="12"/>
      <c r="C141" s="12"/>
      <c r="D141" s="12"/>
      <c r="E141" s="12"/>
      <c r="F141" s="12"/>
      <c r="G141" s="12"/>
    </row>
    <row r="142" ht="15.75" customHeight="1">
      <c r="A142" s="12"/>
      <c r="B142" s="12"/>
      <c r="C142" s="12"/>
      <c r="D142" s="12"/>
      <c r="E142" s="12"/>
      <c r="F142" s="12"/>
      <c r="G142" s="12"/>
    </row>
    <row r="143" ht="15.75" customHeight="1">
      <c r="A143" s="12"/>
      <c r="B143" s="12"/>
      <c r="C143" s="12"/>
      <c r="D143" s="12"/>
      <c r="E143" s="12"/>
      <c r="F143" s="12"/>
      <c r="G143" s="12"/>
    </row>
    <row r="144" ht="15.75" customHeight="1">
      <c r="A144" s="12"/>
      <c r="B144" s="12"/>
      <c r="C144" s="12"/>
      <c r="D144" s="12"/>
      <c r="E144" s="12"/>
      <c r="F144" s="12"/>
      <c r="G144" s="12"/>
    </row>
    <row r="145" ht="15.75" customHeight="1">
      <c r="A145" s="12"/>
      <c r="B145" s="12"/>
      <c r="C145" s="12"/>
      <c r="D145" s="12"/>
      <c r="E145" s="12"/>
      <c r="F145" s="12"/>
      <c r="G145" s="12"/>
    </row>
    <row r="146" ht="15.75" customHeight="1">
      <c r="A146" s="12"/>
      <c r="B146" s="12"/>
      <c r="C146" s="12"/>
      <c r="D146" s="12"/>
      <c r="E146" s="12"/>
      <c r="F146" s="12"/>
      <c r="G146" s="12"/>
    </row>
    <row r="147" ht="15.75" customHeight="1">
      <c r="A147" s="12"/>
      <c r="B147" s="12"/>
      <c r="C147" s="12"/>
      <c r="D147" s="12"/>
      <c r="E147" s="12"/>
      <c r="F147" s="12"/>
      <c r="G147" s="12"/>
    </row>
    <row r="148" ht="15.75" customHeight="1">
      <c r="A148" s="12"/>
      <c r="B148" s="12"/>
      <c r="C148" s="12"/>
      <c r="D148" s="12"/>
      <c r="E148" s="12"/>
      <c r="F148" s="12"/>
      <c r="G148" s="12"/>
    </row>
    <row r="149" ht="15.75" customHeight="1">
      <c r="A149" s="12"/>
      <c r="B149" s="12"/>
      <c r="C149" s="12"/>
      <c r="D149" s="12"/>
      <c r="E149" s="12"/>
      <c r="F149" s="12"/>
      <c r="G149" s="12"/>
    </row>
    <row r="150" ht="15.75" customHeight="1">
      <c r="A150" s="12"/>
      <c r="B150" s="12"/>
      <c r="C150" s="12"/>
      <c r="D150" s="12"/>
      <c r="E150" s="12"/>
      <c r="F150" s="12"/>
      <c r="G150" s="12"/>
    </row>
    <row r="151" ht="15.75" customHeight="1">
      <c r="A151" s="12"/>
      <c r="B151" s="12"/>
      <c r="C151" s="12"/>
      <c r="D151" s="12"/>
      <c r="E151" s="12"/>
      <c r="F151" s="12"/>
      <c r="G151" s="12"/>
    </row>
    <row r="152" ht="15.75" customHeight="1">
      <c r="A152" s="12"/>
      <c r="B152" s="12"/>
      <c r="C152" s="12"/>
      <c r="D152" s="12"/>
      <c r="E152" s="12"/>
      <c r="F152" s="12"/>
      <c r="G152" s="12"/>
    </row>
    <row r="153" ht="15.75" customHeight="1">
      <c r="A153" s="12"/>
      <c r="B153" s="12"/>
      <c r="C153" s="12"/>
      <c r="D153" s="12"/>
      <c r="E153" s="12"/>
      <c r="F153" s="12"/>
      <c r="G153" s="12"/>
    </row>
    <row r="154" ht="15.75" customHeight="1">
      <c r="A154" s="12"/>
      <c r="B154" s="12"/>
      <c r="C154" s="12"/>
      <c r="D154" s="12"/>
      <c r="E154" s="12"/>
      <c r="F154" s="12"/>
      <c r="G154" s="12"/>
    </row>
    <row r="155" ht="15.75" customHeight="1">
      <c r="A155" s="12"/>
      <c r="B155" s="12"/>
      <c r="C155" s="12"/>
      <c r="D155" s="12"/>
      <c r="E155" s="12"/>
      <c r="F155" s="12"/>
      <c r="G155" s="12"/>
    </row>
    <row r="156" ht="15.75" customHeight="1">
      <c r="A156" s="12"/>
      <c r="B156" s="12"/>
      <c r="C156" s="12"/>
      <c r="D156" s="12"/>
      <c r="E156" s="12"/>
      <c r="F156" s="12"/>
      <c r="G156" s="12"/>
    </row>
    <row r="157" ht="15.75" customHeight="1">
      <c r="A157" s="12"/>
      <c r="B157" s="12"/>
      <c r="C157" s="12"/>
      <c r="D157" s="12"/>
      <c r="E157" s="12"/>
      <c r="F157" s="12"/>
      <c r="G157" s="12"/>
    </row>
    <row r="158" ht="15.75" customHeight="1">
      <c r="A158" s="12"/>
      <c r="B158" s="12"/>
      <c r="C158" s="12"/>
      <c r="D158" s="12"/>
      <c r="E158" s="12"/>
      <c r="F158" s="12"/>
      <c r="G158" s="12"/>
    </row>
    <row r="159" ht="15.75" customHeight="1">
      <c r="A159" s="12"/>
      <c r="B159" s="12"/>
      <c r="C159" s="12"/>
      <c r="D159" s="12"/>
      <c r="E159" s="12"/>
      <c r="F159" s="12"/>
      <c r="G159" s="12"/>
    </row>
    <row r="160" ht="15.75" customHeight="1">
      <c r="A160" s="12"/>
      <c r="B160" s="12"/>
      <c r="C160" s="12"/>
      <c r="D160" s="12"/>
      <c r="E160" s="12"/>
      <c r="F160" s="12"/>
      <c r="G160" s="12"/>
    </row>
    <row r="161" ht="15.75" customHeight="1">
      <c r="A161" s="12"/>
      <c r="B161" s="12"/>
      <c r="C161" s="12"/>
      <c r="D161" s="12"/>
      <c r="E161" s="12"/>
      <c r="F161" s="12"/>
      <c r="G161" s="12"/>
    </row>
    <row r="162" ht="15.75" customHeight="1">
      <c r="A162" s="12"/>
      <c r="B162" s="12"/>
      <c r="C162" s="12"/>
      <c r="D162" s="12"/>
      <c r="E162" s="12"/>
      <c r="F162" s="12"/>
      <c r="G162" s="12"/>
    </row>
    <row r="163" ht="15.75" customHeight="1">
      <c r="A163" s="12"/>
      <c r="B163" s="12"/>
      <c r="C163" s="12"/>
      <c r="D163" s="12"/>
      <c r="E163" s="12"/>
      <c r="F163" s="12"/>
      <c r="G163" s="12"/>
    </row>
    <row r="164" ht="15.75" customHeight="1">
      <c r="A164" s="12"/>
      <c r="B164" s="12"/>
      <c r="C164" s="12"/>
      <c r="D164" s="12"/>
      <c r="E164" s="12"/>
      <c r="F164" s="12"/>
      <c r="G164" s="12"/>
    </row>
    <row r="165" ht="15.75" customHeight="1">
      <c r="A165" s="12"/>
      <c r="B165" s="12"/>
      <c r="C165" s="12"/>
      <c r="D165" s="12"/>
      <c r="E165" s="12"/>
      <c r="F165" s="12"/>
      <c r="G165" s="12"/>
    </row>
    <row r="166" ht="15.75" customHeight="1">
      <c r="A166" s="12"/>
      <c r="B166" s="12"/>
      <c r="C166" s="12"/>
      <c r="D166" s="12"/>
      <c r="E166" s="12"/>
      <c r="F166" s="12"/>
      <c r="G166" s="12"/>
    </row>
    <row r="167" ht="15.75" customHeight="1">
      <c r="A167" s="12"/>
      <c r="B167" s="12"/>
      <c r="C167" s="12"/>
      <c r="D167" s="12"/>
      <c r="E167" s="12"/>
      <c r="F167" s="12"/>
      <c r="G167" s="12"/>
    </row>
    <row r="168" ht="15.75" customHeight="1">
      <c r="A168" s="12"/>
      <c r="B168" s="12"/>
      <c r="C168" s="12"/>
      <c r="D168" s="12"/>
      <c r="E168" s="12"/>
      <c r="F168" s="12"/>
      <c r="G168" s="12"/>
    </row>
    <row r="169" ht="15.75" customHeight="1">
      <c r="A169" s="12"/>
      <c r="B169" s="12"/>
      <c r="C169" s="12"/>
      <c r="D169" s="12"/>
      <c r="E169" s="12"/>
      <c r="F169" s="12"/>
      <c r="G169" s="12"/>
    </row>
    <row r="170" ht="15.75" customHeight="1">
      <c r="A170" s="12"/>
      <c r="B170" s="12"/>
      <c r="C170" s="12"/>
      <c r="D170" s="12"/>
      <c r="E170" s="12"/>
      <c r="F170" s="12"/>
      <c r="G170" s="12"/>
    </row>
    <row r="171" ht="15.75" customHeight="1">
      <c r="A171" s="12"/>
      <c r="B171" s="12"/>
      <c r="C171" s="12"/>
      <c r="D171" s="12"/>
      <c r="E171" s="12"/>
      <c r="F171" s="12"/>
      <c r="G171" s="12"/>
    </row>
    <row r="172" ht="15.75" customHeight="1">
      <c r="A172" s="12"/>
      <c r="B172" s="12"/>
      <c r="C172" s="12"/>
      <c r="D172" s="12"/>
      <c r="E172" s="12"/>
      <c r="F172" s="12"/>
      <c r="G172" s="12"/>
    </row>
    <row r="173" ht="15.75" customHeight="1">
      <c r="A173" s="12"/>
      <c r="B173" s="12"/>
      <c r="C173" s="12"/>
      <c r="D173" s="12"/>
      <c r="E173" s="12"/>
      <c r="F173" s="12"/>
      <c r="G173" s="12"/>
    </row>
    <row r="174" ht="15.75" customHeight="1">
      <c r="A174" s="12"/>
      <c r="B174" s="12"/>
      <c r="C174" s="12"/>
      <c r="D174" s="12"/>
      <c r="E174" s="12"/>
      <c r="F174" s="12"/>
      <c r="G174" s="12"/>
    </row>
    <row r="175" ht="15.75" customHeight="1">
      <c r="A175" s="12"/>
      <c r="B175" s="12"/>
      <c r="C175" s="12"/>
      <c r="D175" s="12"/>
      <c r="E175" s="12"/>
      <c r="F175" s="12"/>
      <c r="G175" s="12"/>
    </row>
    <row r="176" ht="15.75" customHeight="1">
      <c r="A176" s="12"/>
      <c r="B176" s="12"/>
      <c r="C176" s="12"/>
      <c r="D176" s="12"/>
      <c r="E176" s="12"/>
      <c r="F176" s="12"/>
      <c r="G176" s="12"/>
    </row>
    <row r="177" ht="15.75" customHeight="1">
      <c r="A177" s="12"/>
      <c r="B177" s="12"/>
      <c r="C177" s="12"/>
      <c r="D177" s="12"/>
      <c r="E177" s="12"/>
      <c r="F177" s="12"/>
      <c r="G177" s="12"/>
    </row>
    <row r="178" ht="15.75" customHeight="1">
      <c r="A178" s="12"/>
      <c r="B178" s="12"/>
      <c r="C178" s="12"/>
      <c r="D178" s="12"/>
      <c r="E178" s="12"/>
      <c r="F178" s="12"/>
      <c r="G178" s="12"/>
    </row>
    <row r="179" ht="15.75" customHeight="1">
      <c r="A179" s="12"/>
      <c r="B179" s="12"/>
      <c r="C179" s="12"/>
      <c r="D179" s="12"/>
      <c r="E179" s="12"/>
      <c r="F179" s="12"/>
      <c r="G179" s="12"/>
    </row>
    <row r="180" ht="15.75" customHeight="1">
      <c r="A180" s="12"/>
      <c r="B180" s="12"/>
      <c r="C180" s="12"/>
      <c r="D180" s="12"/>
      <c r="E180" s="12"/>
      <c r="F180" s="12"/>
      <c r="G180" s="12"/>
    </row>
    <row r="181" ht="15.75" customHeight="1">
      <c r="A181" s="12"/>
      <c r="B181" s="12"/>
      <c r="C181" s="12"/>
      <c r="D181" s="12"/>
      <c r="E181" s="12"/>
      <c r="F181" s="12"/>
      <c r="G181" s="12"/>
    </row>
    <row r="182" ht="15.75" customHeight="1">
      <c r="A182" s="12"/>
      <c r="B182" s="12"/>
      <c r="C182" s="12"/>
      <c r="D182" s="12"/>
      <c r="E182" s="12"/>
      <c r="F182" s="12"/>
      <c r="G182" s="12"/>
    </row>
    <row r="183" ht="15.75" customHeight="1">
      <c r="A183" s="12"/>
      <c r="B183" s="12"/>
      <c r="C183" s="12"/>
      <c r="D183" s="12"/>
      <c r="E183" s="12"/>
      <c r="F183" s="12"/>
      <c r="G183" s="12"/>
    </row>
    <row r="184" ht="15.75" customHeight="1">
      <c r="A184" s="12"/>
      <c r="B184" s="12"/>
      <c r="C184" s="12"/>
      <c r="D184" s="12"/>
      <c r="E184" s="12"/>
      <c r="F184" s="12"/>
      <c r="G184" s="12"/>
    </row>
    <row r="185" ht="15.75" customHeight="1">
      <c r="A185" s="12"/>
      <c r="B185" s="12"/>
      <c r="C185" s="12"/>
      <c r="D185" s="12"/>
      <c r="E185" s="12"/>
      <c r="F185" s="12"/>
      <c r="G185" s="12"/>
    </row>
    <row r="186" ht="15.75" customHeight="1">
      <c r="A186" s="12"/>
      <c r="B186" s="12"/>
      <c r="C186" s="12"/>
      <c r="D186" s="12"/>
      <c r="E186" s="12"/>
      <c r="F186" s="12"/>
      <c r="G186" s="12"/>
    </row>
    <row r="187" ht="15.75" customHeight="1">
      <c r="A187" s="12"/>
      <c r="B187" s="12"/>
      <c r="C187" s="12"/>
      <c r="D187" s="12"/>
      <c r="E187" s="12"/>
      <c r="F187" s="12"/>
      <c r="G187" s="12"/>
    </row>
    <row r="188" ht="15.75" customHeight="1">
      <c r="A188" s="12"/>
      <c r="B188" s="12"/>
      <c r="C188" s="12"/>
      <c r="D188" s="12"/>
      <c r="E188" s="12"/>
      <c r="F188" s="12"/>
      <c r="G188" s="12"/>
    </row>
    <row r="189" ht="15.75" customHeight="1">
      <c r="A189" s="12"/>
      <c r="B189" s="12"/>
      <c r="C189" s="12"/>
      <c r="D189" s="12"/>
      <c r="E189" s="12"/>
      <c r="F189" s="12"/>
      <c r="G189" s="12"/>
    </row>
    <row r="190" ht="15.75" customHeight="1">
      <c r="A190" s="12"/>
      <c r="B190" s="12"/>
      <c r="C190" s="12"/>
      <c r="D190" s="12"/>
      <c r="E190" s="12"/>
      <c r="F190" s="12"/>
      <c r="G190" s="12"/>
    </row>
    <row r="191" ht="15.75" customHeight="1">
      <c r="A191" s="12"/>
      <c r="B191" s="12"/>
      <c r="C191" s="12"/>
      <c r="D191" s="12"/>
      <c r="E191" s="12"/>
      <c r="F191" s="12"/>
      <c r="G191" s="12"/>
    </row>
    <row r="192" ht="15.75" customHeight="1">
      <c r="A192" s="12"/>
      <c r="B192" s="12"/>
      <c r="C192" s="12"/>
      <c r="D192" s="12"/>
      <c r="E192" s="12"/>
      <c r="F192" s="12"/>
      <c r="G192" s="12"/>
    </row>
    <row r="193" ht="15.75" customHeight="1">
      <c r="A193" s="12"/>
      <c r="B193" s="12"/>
      <c r="C193" s="12"/>
      <c r="D193" s="12"/>
      <c r="E193" s="12"/>
      <c r="F193" s="12"/>
      <c r="G193" s="12"/>
    </row>
    <row r="194" ht="15.75" customHeight="1">
      <c r="A194" s="12"/>
      <c r="B194" s="12"/>
      <c r="C194" s="12"/>
      <c r="D194" s="12"/>
      <c r="E194" s="12"/>
      <c r="F194" s="12"/>
      <c r="G194" s="12"/>
    </row>
    <row r="195" ht="15.75" customHeight="1">
      <c r="A195" s="12"/>
      <c r="B195" s="12"/>
      <c r="C195" s="12"/>
      <c r="D195" s="12"/>
      <c r="E195" s="12"/>
      <c r="F195" s="12"/>
      <c r="G195" s="12"/>
    </row>
    <row r="196" ht="15.75" customHeight="1">
      <c r="A196" s="12"/>
      <c r="B196" s="12"/>
      <c r="C196" s="12"/>
      <c r="D196" s="12"/>
      <c r="E196" s="12"/>
      <c r="F196" s="12"/>
      <c r="G196" s="12"/>
    </row>
    <row r="197" ht="15.75" customHeight="1">
      <c r="A197" s="12"/>
      <c r="B197" s="12"/>
      <c r="C197" s="12"/>
      <c r="D197" s="12"/>
      <c r="E197" s="12"/>
      <c r="F197" s="12"/>
      <c r="G197" s="12"/>
    </row>
    <row r="198" ht="15.75" customHeight="1">
      <c r="A198" s="12"/>
      <c r="B198" s="12"/>
      <c r="C198" s="12"/>
      <c r="D198" s="12"/>
      <c r="E198" s="12"/>
      <c r="F198" s="12"/>
      <c r="G198" s="12"/>
    </row>
    <row r="199" ht="15.75" customHeight="1">
      <c r="A199" s="12"/>
      <c r="B199" s="12"/>
      <c r="C199" s="12"/>
      <c r="D199" s="12"/>
      <c r="E199" s="12"/>
      <c r="F199" s="12"/>
      <c r="G199" s="12"/>
    </row>
    <row r="200" ht="15.75" customHeight="1">
      <c r="A200" s="12"/>
      <c r="B200" s="12"/>
      <c r="C200" s="12"/>
      <c r="D200" s="12"/>
      <c r="E200" s="12"/>
      <c r="F200" s="12"/>
      <c r="G200" s="12"/>
    </row>
    <row r="201" ht="15.75" customHeight="1">
      <c r="A201" s="12"/>
      <c r="B201" s="12"/>
      <c r="C201" s="12"/>
      <c r="D201" s="12"/>
      <c r="E201" s="12"/>
      <c r="F201" s="12"/>
      <c r="G201" s="12"/>
    </row>
    <row r="202" ht="15.75" customHeight="1">
      <c r="A202" s="12"/>
      <c r="B202" s="12"/>
      <c r="C202" s="12"/>
      <c r="D202" s="12"/>
      <c r="E202" s="12"/>
      <c r="F202" s="12"/>
      <c r="G202" s="12"/>
    </row>
    <row r="203" ht="15.75" customHeight="1">
      <c r="A203" s="12"/>
      <c r="B203" s="12"/>
      <c r="C203" s="12"/>
      <c r="D203" s="12"/>
      <c r="E203" s="12"/>
      <c r="F203" s="12"/>
      <c r="G203" s="12"/>
    </row>
    <row r="204" ht="15.75" customHeight="1">
      <c r="A204" s="12"/>
      <c r="B204" s="12"/>
      <c r="C204" s="12"/>
      <c r="D204" s="12"/>
      <c r="E204" s="12"/>
      <c r="F204" s="12"/>
      <c r="G204" s="12"/>
    </row>
    <row r="205" ht="15.75" customHeight="1">
      <c r="A205" s="12"/>
      <c r="B205" s="12"/>
      <c r="C205" s="12"/>
      <c r="D205" s="12"/>
      <c r="E205" s="12"/>
      <c r="F205" s="12"/>
      <c r="G205" s="12"/>
    </row>
    <row r="206" ht="15.75" customHeight="1">
      <c r="A206" s="12"/>
      <c r="B206" s="12"/>
      <c r="C206" s="12"/>
      <c r="D206" s="12"/>
      <c r="E206" s="12"/>
      <c r="F206" s="12"/>
      <c r="G206" s="12"/>
    </row>
    <row r="207" ht="15.75" customHeight="1">
      <c r="A207" s="12"/>
      <c r="B207" s="12"/>
      <c r="C207" s="12"/>
      <c r="D207" s="12"/>
      <c r="E207" s="12"/>
      <c r="F207" s="12"/>
      <c r="G207" s="12"/>
    </row>
    <row r="208" ht="15.75" customHeight="1">
      <c r="A208" s="12"/>
      <c r="B208" s="12"/>
      <c r="C208" s="12"/>
      <c r="D208" s="12"/>
      <c r="E208" s="12"/>
      <c r="F208" s="12"/>
      <c r="G208" s="12"/>
    </row>
    <row r="209" ht="15.75" customHeight="1">
      <c r="A209" s="12"/>
      <c r="B209" s="12"/>
      <c r="C209" s="12"/>
      <c r="D209" s="12"/>
      <c r="E209" s="12"/>
      <c r="F209" s="12"/>
      <c r="G209" s="12"/>
    </row>
    <row r="210" ht="15.75" customHeight="1">
      <c r="A210" s="12"/>
      <c r="B210" s="12"/>
      <c r="C210" s="12"/>
      <c r="D210" s="12"/>
      <c r="E210" s="12"/>
      <c r="F210" s="12"/>
      <c r="G210" s="12"/>
    </row>
    <row r="211" ht="15.75" customHeight="1">
      <c r="A211" s="12"/>
      <c r="B211" s="12"/>
      <c r="C211" s="12"/>
      <c r="D211" s="12"/>
      <c r="E211" s="12"/>
      <c r="F211" s="12"/>
      <c r="G211" s="12"/>
    </row>
    <row r="212" ht="15.75" customHeight="1">
      <c r="A212" s="12"/>
      <c r="B212" s="12"/>
      <c r="C212" s="12"/>
      <c r="D212" s="12"/>
      <c r="E212" s="12"/>
      <c r="F212" s="12"/>
      <c r="G212" s="12"/>
    </row>
    <row r="213" ht="15.75" customHeight="1">
      <c r="A213" s="12"/>
      <c r="B213" s="12"/>
      <c r="C213" s="12"/>
      <c r="D213" s="12"/>
      <c r="E213" s="12"/>
      <c r="F213" s="12"/>
      <c r="G213" s="12"/>
    </row>
    <row r="214" ht="15.75" customHeight="1">
      <c r="A214" s="12"/>
      <c r="B214" s="12"/>
      <c r="C214" s="12"/>
      <c r="D214" s="12"/>
      <c r="E214" s="12"/>
      <c r="F214" s="12"/>
      <c r="G214" s="12"/>
    </row>
    <row r="215" ht="15.75" customHeight="1">
      <c r="A215" s="12"/>
      <c r="B215" s="12"/>
      <c r="C215" s="12"/>
      <c r="D215" s="12"/>
      <c r="E215" s="12"/>
      <c r="F215" s="12"/>
      <c r="G215" s="12"/>
    </row>
    <row r="216" ht="15.75" customHeight="1">
      <c r="A216" s="12"/>
      <c r="B216" s="12"/>
      <c r="C216" s="12"/>
      <c r="D216" s="12"/>
      <c r="E216" s="12"/>
      <c r="F216" s="12"/>
      <c r="G216" s="12"/>
    </row>
    <row r="217" ht="15.75" customHeight="1">
      <c r="A217" s="12"/>
      <c r="B217" s="12"/>
      <c r="C217" s="12"/>
      <c r="D217" s="12"/>
      <c r="E217" s="12"/>
      <c r="F217" s="12"/>
      <c r="G217" s="12"/>
    </row>
    <row r="218" ht="15.75" customHeight="1">
      <c r="A218" s="12"/>
      <c r="B218" s="12"/>
      <c r="C218" s="12"/>
      <c r="D218" s="12"/>
      <c r="E218" s="12"/>
      <c r="F218" s="12"/>
      <c r="G218" s="12"/>
    </row>
    <row r="219" ht="15.75" customHeight="1">
      <c r="A219" s="12"/>
      <c r="B219" s="12"/>
      <c r="C219" s="12"/>
      <c r="D219" s="12"/>
      <c r="E219" s="12"/>
      <c r="F219" s="12"/>
      <c r="G219" s="12"/>
    </row>
    <row r="220" ht="15.75" customHeight="1">
      <c r="A220" s="12"/>
      <c r="B220" s="12"/>
      <c r="C220" s="12"/>
      <c r="D220" s="12"/>
      <c r="E220" s="12"/>
      <c r="F220" s="12"/>
      <c r="G220" s="12"/>
    </row>
    <row r="221" ht="15.75" customHeight="1">
      <c r="A221" s="12"/>
      <c r="B221" s="12"/>
      <c r="C221" s="12"/>
      <c r="D221" s="12"/>
      <c r="E221" s="12"/>
      <c r="F221" s="12"/>
      <c r="G221" s="12"/>
    </row>
    <row r="222" ht="15.75" customHeight="1">
      <c r="A222" s="12"/>
      <c r="B222" s="12"/>
      <c r="C222" s="12"/>
      <c r="D222" s="12"/>
      <c r="E222" s="12"/>
      <c r="F222" s="12"/>
      <c r="G222" s="12"/>
    </row>
    <row r="223" ht="15.75" customHeight="1">
      <c r="A223" s="12"/>
      <c r="B223" s="12"/>
      <c r="C223" s="12"/>
      <c r="D223" s="12"/>
      <c r="E223" s="12"/>
      <c r="F223" s="12"/>
      <c r="G223" s="12"/>
    </row>
    <row r="224" ht="15.75" customHeight="1">
      <c r="A224" s="12"/>
      <c r="B224" s="12"/>
      <c r="C224" s="12"/>
      <c r="D224" s="12"/>
      <c r="E224" s="12"/>
      <c r="F224" s="12"/>
      <c r="G224" s="12"/>
    </row>
    <row r="225" ht="15.75" customHeight="1">
      <c r="A225" s="12"/>
      <c r="B225" s="12"/>
      <c r="C225" s="12"/>
      <c r="D225" s="12"/>
      <c r="E225" s="12"/>
      <c r="F225" s="12"/>
      <c r="G225" s="12"/>
    </row>
    <row r="226" ht="15.75" customHeight="1">
      <c r="A226" s="12"/>
      <c r="B226" s="12"/>
      <c r="C226" s="12"/>
      <c r="D226" s="12"/>
      <c r="E226" s="12"/>
      <c r="F226" s="12"/>
      <c r="G226" s="12"/>
    </row>
    <row r="227" ht="15.75" customHeight="1">
      <c r="A227" s="12"/>
      <c r="B227" s="12"/>
      <c r="C227" s="12"/>
      <c r="D227" s="12"/>
      <c r="E227" s="12"/>
      <c r="F227" s="12"/>
      <c r="G227" s="12"/>
    </row>
    <row r="228" ht="15.75" customHeight="1">
      <c r="A228" s="12"/>
      <c r="B228" s="12"/>
      <c r="C228" s="12"/>
      <c r="D228" s="12"/>
      <c r="E228" s="12"/>
      <c r="F228" s="12"/>
      <c r="G228" s="12"/>
    </row>
    <row r="229" ht="15.75" customHeight="1">
      <c r="A229" s="12"/>
      <c r="B229" s="12"/>
      <c r="C229" s="12"/>
      <c r="D229" s="12"/>
      <c r="E229" s="12"/>
      <c r="F229" s="12"/>
      <c r="G229" s="12"/>
    </row>
    <row r="230" ht="15.75" customHeight="1">
      <c r="A230" s="12"/>
      <c r="B230" s="12"/>
      <c r="C230" s="12"/>
      <c r="D230" s="12"/>
      <c r="E230" s="12"/>
      <c r="F230" s="12"/>
      <c r="G230" s="12"/>
    </row>
    <row r="231" ht="15.75" customHeight="1">
      <c r="A231" s="12"/>
      <c r="B231" s="12"/>
      <c r="C231" s="12"/>
      <c r="D231" s="12"/>
      <c r="E231" s="12"/>
      <c r="F231" s="12"/>
      <c r="G231" s="12"/>
    </row>
    <row r="232" ht="15.75" customHeight="1">
      <c r="A232" s="12"/>
      <c r="B232" s="12"/>
      <c r="C232" s="12"/>
      <c r="D232" s="12"/>
      <c r="E232" s="12"/>
      <c r="F232" s="12"/>
      <c r="G232" s="1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">
    <mergeCell ref="H3:H4"/>
    <mergeCell ref="I3:I4"/>
    <mergeCell ref="J3:J4"/>
    <mergeCell ref="K3:K4"/>
    <mergeCell ref="L3:L4"/>
    <mergeCell ref="M3:M4"/>
    <mergeCell ref="N3:N4"/>
    <mergeCell ref="O3:O4"/>
    <mergeCell ref="A9:B9"/>
    <mergeCell ref="D9:G9"/>
    <mergeCell ref="A1:B1"/>
    <mergeCell ref="D1:G1"/>
    <mergeCell ref="C3:C4"/>
    <mergeCell ref="D3:D4"/>
    <mergeCell ref="E3:E4"/>
    <mergeCell ref="F3:F4"/>
    <mergeCell ref="G3:G4"/>
  </mergeCells>
  <printOptions/>
  <pageMargins bottom="0.75" footer="0.0" header="0.0" left="0.7" right="0.7" top="0.75"/>
  <pageSetup scale="65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52.86"/>
    <col customWidth="1" min="3" max="3" width="9.14"/>
    <col customWidth="1" min="4" max="5" width="14.0"/>
    <col customWidth="1" min="6" max="6" width="7.14"/>
    <col customWidth="1" min="7" max="7" width="19.57"/>
    <col customWidth="1" min="8" max="9" width="2.43"/>
    <col customWidth="1" min="10" max="10" width="14.86"/>
    <col customWidth="1" min="11" max="11" width="14.14"/>
    <col customWidth="1" min="12" max="13" width="11.43"/>
    <col customWidth="1" min="14" max="14" width="7.86"/>
    <col customWidth="1" min="15" max="15" width="19.57"/>
    <col customWidth="1" min="16" max="16" width="32.0"/>
  </cols>
  <sheetData>
    <row r="1" ht="8.25" customHeight="1">
      <c r="A1" s="28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</row>
    <row r="2" ht="16.5" customHeight="1">
      <c r="A2" s="288"/>
      <c r="B2" s="289" t="s">
        <v>608</v>
      </c>
      <c r="C2" s="175"/>
      <c r="D2" s="175"/>
      <c r="E2" s="175"/>
      <c r="F2" s="175"/>
      <c r="G2" s="176"/>
      <c r="H2" s="68"/>
      <c r="I2" s="68"/>
      <c r="J2" s="290" t="s">
        <v>609</v>
      </c>
      <c r="K2" s="175"/>
      <c r="L2" s="175"/>
      <c r="M2" s="175"/>
      <c r="N2" s="175"/>
      <c r="O2" s="176"/>
      <c r="P2" s="6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</row>
    <row r="3" ht="16.5" customHeight="1">
      <c r="A3" s="288"/>
      <c r="B3" s="291" t="s">
        <v>591</v>
      </c>
      <c r="C3" s="291" t="s">
        <v>610</v>
      </c>
      <c r="D3" s="130" t="s">
        <v>611</v>
      </c>
      <c r="E3" s="291" t="s">
        <v>612</v>
      </c>
      <c r="F3" s="130" t="s">
        <v>613</v>
      </c>
      <c r="G3" s="291" t="s">
        <v>24</v>
      </c>
      <c r="H3" s="68"/>
      <c r="I3" s="68"/>
      <c r="J3" s="292" t="s">
        <v>614</v>
      </c>
      <c r="K3" s="291" t="s">
        <v>612</v>
      </c>
      <c r="L3" s="291" t="s">
        <v>615</v>
      </c>
      <c r="M3" s="291" t="s">
        <v>616</v>
      </c>
      <c r="N3" s="291" t="s">
        <v>613</v>
      </c>
      <c r="O3" s="291" t="s">
        <v>24</v>
      </c>
      <c r="P3" s="6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</row>
    <row r="4" ht="16.5" customHeight="1">
      <c r="A4" s="288"/>
      <c r="B4" s="266" t="s">
        <v>617</v>
      </c>
      <c r="C4" s="266" t="s">
        <v>618</v>
      </c>
      <c r="D4" s="265">
        <v>44322.0</v>
      </c>
      <c r="E4" s="266" t="s">
        <v>619</v>
      </c>
      <c r="F4" s="266"/>
      <c r="G4" s="266"/>
      <c r="H4" s="68"/>
      <c r="I4" s="68"/>
      <c r="J4" s="293">
        <v>46191.0</v>
      </c>
      <c r="K4" s="293">
        <v>46565.0</v>
      </c>
      <c r="L4" s="266" t="s">
        <v>620</v>
      </c>
      <c r="M4" s="266" t="s">
        <v>621</v>
      </c>
      <c r="N4" s="266">
        <f t="shared" ref="N4:N6" si="1">TODAY()-K4</f>
        <v>-313</v>
      </c>
      <c r="O4" s="266" t="str">
        <f t="shared" ref="O4:O6" si="2">IF(N4&gt;=-10,"RENOVAR","VIGENTE")</f>
        <v>VIGENTE</v>
      </c>
      <c r="P4" s="68"/>
      <c r="Q4" s="288"/>
      <c r="R4" s="288"/>
      <c r="S4" s="288"/>
      <c r="T4" s="288"/>
      <c r="U4" s="288"/>
      <c r="V4" s="288"/>
      <c r="W4" s="288"/>
      <c r="X4" s="288"/>
      <c r="Y4" s="288"/>
      <c r="Z4" s="288"/>
      <c r="AA4" s="288"/>
      <c r="AB4" s="288"/>
    </row>
    <row r="5" ht="16.5" customHeight="1">
      <c r="A5" s="288"/>
      <c r="B5" s="266" t="s">
        <v>622</v>
      </c>
      <c r="C5" s="266" t="s">
        <v>623</v>
      </c>
      <c r="D5" s="265">
        <v>44103.0</v>
      </c>
      <c r="E5" s="266" t="s">
        <v>619</v>
      </c>
      <c r="F5" s="266"/>
      <c r="G5" s="266"/>
      <c r="H5" s="68"/>
      <c r="I5" s="68"/>
      <c r="J5" s="265"/>
      <c r="K5" s="265">
        <v>46363.0</v>
      </c>
      <c r="L5" s="266" t="s">
        <v>624</v>
      </c>
      <c r="M5" s="266" t="s">
        <v>625</v>
      </c>
      <c r="N5" s="266">
        <f t="shared" si="1"/>
        <v>-111</v>
      </c>
      <c r="O5" s="266" t="str">
        <f t="shared" si="2"/>
        <v>VIGENTE</v>
      </c>
      <c r="P5" s="6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</row>
    <row r="6" ht="16.5" customHeight="1">
      <c r="A6" s="288"/>
      <c r="B6" s="266" t="s">
        <v>626</v>
      </c>
      <c r="C6" s="266" t="s">
        <v>627</v>
      </c>
      <c r="D6" s="265">
        <v>44537.0</v>
      </c>
      <c r="E6" s="266" t="s">
        <v>619</v>
      </c>
      <c r="F6" s="266"/>
      <c r="G6" s="266"/>
      <c r="H6" s="68"/>
      <c r="I6" s="68"/>
      <c r="J6" s="265"/>
      <c r="K6" s="265">
        <v>46378.0</v>
      </c>
      <c r="L6" s="266" t="s">
        <v>628</v>
      </c>
      <c r="M6" s="266" t="s">
        <v>629</v>
      </c>
      <c r="N6" s="266">
        <f t="shared" si="1"/>
        <v>-126</v>
      </c>
      <c r="O6" s="266" t="str">
        <f t="shared" si="2"/>
        <v>VIGENTE</v>
      </c>
      <c r="P6" s="68"/>
      <c r="Q6" s="288"/>
      <c r="R6" s="288"/>
      <c r="S6" s="288"/>
      <c r="T6" s="288"/>
      <c r="U6" s="288"/>
      <c r="V6" s="288"/>
      <c r="W6" s="288"/>
      <c r="X6" s="288"/>
      <c r="Y6" s="288"/>
      <c r="Z6" s="288"/>
      <c r="AA6" s="288"/>
      <c r="AB6" s="288"/>
    </row>
    <row r="7">
      <c r="B7" s="105" t="s">
        <v>630</v>
      </c>
      <c r="C7" s="266" t="s">
        <v>631</v>
      </c>
      <c r="D7" s="265">
        <v>46127.0</v>
      </c>
      <c r="E7" s="266" t="s">
        <v>619</v>
      </c>
      <c r="F7" s="266"/>
      <c r="G7" s="266"/>
    </row>
    <row r="8" ht="6.0" customHeight="1">
      <c r="A8" s="28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</row>
    <row r="9" ht="16.5" customHeight="1">
      <c r="A9" s="288"/>
      <c r="B9" s="294" t="s">
        <v>632</v>
      </c>
      <c r="C9" s="175"/>
      <c r="D9" s="175"/>
      <c r="E9" s="175"/>
      <c r="F9" s="175"/>
      <c r="G9" s="176"/>
      <c r="H9" s="68"/>
      <c r="I9" s="68"/>
      <c r="J9" s="290" t="s">
        <v>633</v>
      </c>
      <c r="K9" s="175"/>
      <c r="L9" s="175"/>
      <c r="M9" s="175"/>
      <c r="N9" s="175"/>
      <c r="O9" s="176"/>
      <c r="P9" s="68"/>
      <c r="Q9" s="288"/>
      <c r="R9" s="288"/>
      <c r="S9" s="288"/>
      <c r="T9" s="288"/>
      <c r="U9" s="288"/>
      <c r="V9" s="288"/>
      <c r="W9" s="288"/>
      <c r="X9" s="288"/>
      <c r="Y9" s="288"/>
      <c r="Z9" s="288"/>
      <c r="AA9" s="288"/>
      <c r="AB9" s="288"/>
    </row>
    <row r="10" ht="16.5" customHeight="1">
      <c r="A10" s="288"/>
      <c r="B10" s="291" t="s">
        <v>591</v>
      </c>
      <c r="C10" s="291" t="s">
        <v>610</v>
      </c>
      <c r="D10" s="130" t="s">
        <v>611</v>
      </c>
      <c r="E10" s="291" t="s">
        <v>612</v>
      </c>
      <c r="F10" s="130" t="s">
        <v>613</v>
      </c>
      <c r="G10" s="291" t="s">
        <v>24</v>
      </c>
      <c r="H10" s="68"/>
      <c r="I10" s="288"/>
      <c r="J10" s="292" t="s">
        <v>614</v>
      </c>
      <c r="K10" s="291" t="s">
        <v>612</v>
      </c>
      <c r="L10" s="291" t="s">
        <v>615</v>
      </c>
      <c r="M10" s="291" t="s">
        <v>616</v>
      </c>
      <c r="N10" s="291" t="s">
        <v>613</v>
      </c>
      <c r="O10" s="295" t="s">
        <v>24</v>
      </c>
      <c r="P10" s="288"/>
      <c r="Q10" s="288"/>
      <c r="R10" s="288"/>
      <c r="S10" s="288"/>
      <c r="T10" s="288"/>
      <c r="U10" s="288"/>
      <c r="V10" s="288"/>
      <c r="W10" s="288"/>
      <c r="X10" s="288"/>
      <c r="Y10" s="288"/>
      <c r="Z10" s="288"/>
      <c r="AA10" s="288"/>
      <c r="AB10" s="288"/>
    </row>
    <row r="11" ht="16.5" customHeight="1">
      <c r="A11" s="288"/>
      <c r="B11" s="266" t="s">
        <v>617</v>
      </c>
      <c r="C11" s="266" t="s">
        <v>618</v>
      </c>
      <c r="D11" s="293">
        <v>46179.0</v>
      </c>
      <c r="E11" s="293">
        <v>46424.0</v>
      </c>
      <c r="F11" s="266">
        <f t="shared" ref="F11:F14" si="3">TODAY()-E11</f>
        <v>-172</v>
      </c>
      <c r="G11" s="296" t="str">
        <f t="shared" ref="G11:G14" si="4">IF(F11&gt;=-10,"RENOVAR","VIGENTE")</f>
        <v>VIGENTE</v>
      </c>
      <c r="H11" s="68"/>
      <c r="I11" s="288"/>
      <c r="J11" s="293">
        <v>46074.0</v>
      </c>
      <c r="K11" s="293">
        <v>46439.0</v>
      </c>
      <c r="L11" s="266" t="s">
        <v>620</v>
      </c>
      <c r="M11" s="266" t="s">
        <v>621</v>
      </c>
      <c r="N11" s="114">
        <f t="shared" ref="N11:N13" si="5">TODAY()-K11</f>
        <v>-187</v>
      </c>
      <c r="O11" s="296" t="str">
        <f t="shared" ref="O11:O13" si="6">IF(N11&gt;=-10,"RENOVAR","VIGENTE")</f>
        <v>VIGENTE</v>
      </c>
      <c r="P11" s="288"/>
      <c r="Q11" s="288"/>
      <c r="R11" s="288"/>
      <c r="S11" s="288"/>
      <c r="T11" s="288"/>
      <c r="U11" s="288"/>
      <c r="V11" s="288"/>
      <c r="W11" s="288"/>
      <c r="X11" s="288"/>
      <c r="Y11" s="288"/>
      <c r="Z11" s="288"/>
      <c r="AA11" s="288"/>
      <c r="AB11" s="288"/>
    </row>
    <row r="12" ht="16.5" customHeight="1">
      <c r="A12" s="288"/>
      <c r="B12" s="266" t="s">
        <v>622</v>
      </c>
      <c r="C12" s="266" t="s">
        <v>623</v>
      </c>
      <c r="D12" s="293">
        <v>46179.0</v>
      </c>
      <c r="E12" s="293">
        <v>46424.0</v>
      </c>
      <c r="F12" s="266">
        <f t="shared" si="3"/>
        <v>-172</v>
      </c>
      <c r="G12" s="296" t="str">
        <f t="shared" si="4"/>
        <v>VIGENTE</v>
      </c>
      <c r="H12" s="68"/>
      <c r="I12" s="288"/>
      <c r="J12" s="293">
        <v>46060.0</v>
      </c>
      <c r="K12" s="293">
        <v>46425.0</v>
      </c>
      <c r="L12" s="266" t="s">
        <v>624</v>
      </c>
      <c r="M12" s="266" t="s">
        <v>625</v>
      </c>
      <c r="N12" s="114">
        <f t="shared" si="5"/>
        <v>-173</v>
      </c>
      <c r="O12" s="296" t="str">
        <f t="shared" si="6"/>
        <v>VIGENTE</v>
      </c>
      <c r="P12" s="288"/>
      <c r="Q12" s="288"/>
      <c r="R12" s="288"/>
      <c r="S12" s="288"/>
      <c r="T12" s="288"/>
      <c r="U12" s="288"/>
      <c r="V12" s="288"/>
      <c r="W12" s="288"/>
      <c r="X12" s="288"/>
      <c r="Y12" s="288"/>
      <c r="Z12" s="288"/>
      <c r="AA12" s="288"/>
      <c r="AB12" s="288"/>
    </row>
    <row r="13" ht="16.5" customHeight="1">
      <c r="A13" s="288"/>
      <c r="B13" s="266" t="s">
        <v>626</v>
      </c>
      <c r="C13" s="266" t="s">
        <v>627</v>
      </c>
      <c r="D13" s="293">
        <v>46179.0</v>
      </c>
      <c r="E13" s="293">
        <v>46424.0</v>
      </c>
      <c r="F13" s="266">
        <f t="shared" si="3"/>
        <v>-172</v>
      </c>
      <c r="G13" s="296" t="str">
        <f t="shared" si="4"/>
        <v>VIGENTE</v>
      </c>
      <c r="H13" s="68"/>
      <c r="I13" s="288"/>
      <c r="J13" s="265">
        <v>46020.0</v>
      </c>
      <c r="K13" s="265">
        <v>46385.0</v>
      </c>
      <c r="L13" s="266" t="s">
        <v>628</v>
      </c>
      <c r="M13" s="266" t="s">
        <v>629</v>
      </c>
      <c r="N13" s="114">
        <f t="shared" si="5"/>
        <v>-133</v>
      </c>
      <c r="O13" s="296" t="str">
        <f t="shared" si="6"/>
        <v>VIGENTE</v>
      </c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</row>
    <row r="14" ht="16.5" customHeight="1">
      <c r="A14" s="288"/>
      <c r="B14" s="105" t="s">
        <v>634</v>
      </c>
      <c r="C14" s="105" t="s">
        <v>631</v>
      </c>
      <c r="D14" s="293">
        <v>46179.0</v>
      </c>
      <c r="E14" s="293">
        <v>46424.0</v>
      </c>
      <c r="F14" s="266">
        <f t="shared" si="3"/>
        <v>-172</v>
      </c>
      <c r="G14" s="296" t="str">
        <f t="shared" si="4"/>
        <v>VIGENTE</v>
      </c>
      <c r="H14" s="68"/>
      <c r="I14" s="6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</row>
    <row r="15" ht="6.0" customHeight="1">
      <c r="A15" s="288"/>
      <c r="B15" s="68"/>
      <c r="C15" s="68"/>
      <c r="D15" s="68"/>
      <c r="E15" s="68"/>
      <c r="F15" s="68"/>
      <c r="G15" s="68"/>
      <c r="H15" s="6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</row>
    <row r="16" ht="16.5" customHeight="1">
      <c r="A16" s="288"/>
      <c r="B16" s="294" t="s">
        <v>635</v>
      </c>
      <c r="C16" s="175"/>
      <c r="D16" s="175"/>
      <c r="E16" s="175"/>
      <c r="F16" s="175"/>
      <c r="G16" s="176"/>
      <c r="H16" s="68"/>
      <c r="I16" s="68"/>
      <c r="J16" s="288"/>
      <c r="K16" s="288"/>
      <c r="L16" s="288"/>
      <c r="M16" s="288"/>
      <c r="N16" s="288"/>
      <c r="O16" s="68"/>
      <c r="P16" s="68"/>
      <c r="Q16" s="288"/>
      <c r="R16" s="288"/>
      <c r="S16" s="288"/>
      <c r="T16" s="288"/>
      <c r="U16" s="288"/>
      <c r="V16" s="288"/>
      <c r="W16" s="288"/>
      <c r="X16" s="288"/>
      <c r="Y16" s="288"/>
      <c r="Z16" s="288"/>
      <c r="AA16" s="288"/>
      <c r="AB16" s="288"/>
    </row>
    <row r="17" ht="16.5" customHeight="1">
      <c r="A17" s="288"/>
      <c r="B17" s="291" t="s">
        <v>591</v>
      </c>
      <c r="C17" s="291" t="s">
        <v>610</v>
      </c>
      <c r="D17" s="130" t="s">
        <v>611</v>
      </c>
      <c r="E17" s="291" t="s">
        <v>612</v>
      </c>
      <c r="F17" s="130" t="s">
        <v>613</v>
      </c>
      <c r="G17" s="291" t="s">
        <v>24</v>
      </c>
      <c r="H17" s="68"/>
      <c r="I17" s="68"/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</row>
    <row r="18" ht="16.5" customHeight="1">
      <c r="A18" s="288"/>
      <c r="B18" s="266" t="s">
        <v>617</v>
      </c>
      <c r="C18" s="266" t="s">
        <v>618</v>
      </c>
      <c r="D18" s="293">
        <v>45684.0</v>
      </c>
      <c r="E18" s="293">
        <v>46414.0</v>
      </c>
      <c r="F18" s="266">
        <f t="shared" ref="F18:F21" si="7">TODAY()-E18</f>
        <v>-162</v>
      </c>
      <c r="G18" s="296" t="str">
        <f t="shared" ref="G18:G21" si="8">IF(F18&gt;=-10,"RENOVAR","VIGENTE")</f>
        <v>VIGENTE</v>
      </c>
      <c r="H18" s="68"/>
      <c r="I18" s="68"/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88"/>
      <c r="AA18" s="288"/>
      <c r="AB18" s="288"/>
    </row>
    <row r="19" ht="16.5" customHeight="1">
      <c r="A19" s="288"/>
      <c r="B19" s="266" t="s">
        <v>622</v>
      </c>
      <c r="C19" s="266" t="s">
        <v>623</v>
      </c>
      <c r="D19" s="293">
        <v>45665.0</v>
      </c>
      <c r="E19" s="293">
        <v>46395.0</v>
      </c>
      <c r="F19" s="266">
        <f t="shared" si="7"/>
        <v>-143</v>
      </c>
      <c r="G19" s="296" t="str">
        <f t="shared" si="8"/>
        <v>VIGENTE</v>
      </c>
      <c r="H19" s="68"/>
      <c r="I19" s="6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8"/>
    </row>
    <row r="20" ht="16.5" customHeight="1">
      <c r="A20" s="288"/>
      <c r="B20" s="266" t="s">
        <v>626</v>
      </c>
      <c r="C20" s="266" t="s">
        <v>627</v>
      </c>
      <c r="D20" s="293">
        <v>46106.0</v>
      </c>
      <c r="E20" s="293">
        <v>46837.0</v>
      </c>
      <c r="F20" s="266">
        <f t="shared" si="7"/>
        <v>-585</v>
      </c>
      <c r="G20" s="296" t="str">
        <f t="shared" si="8"/>
        <v>VIGENTE</v>
      </c>
      <c r="H20" s="68"/>
      <c r="I20" s="6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</row>
    <row r="21" ht="16.5" customHeight="1">
      <c r="A21" s="288"/>
      <c r="B21" s="105" t="s">
        <v>634</v>
      </c>
      <c r="C21" s="105" t="s">
        <v>631</v>
      </c>
      <c r="D21" s="293">
        <v>46128.0</v>
      </c>
      <c r="E21" s="293">
        <v>46859.0</v>
      </c>
      <c r="F21" s="266">
        <f t="shared" si="7"/>
        <v>-607</v>
      </c>
      <c r="G21" s="296" t="str">
        <f t="shared" si="8"/>
        <v>VIGENTE</v>
      </c>
      <c r="H21" s="68"/>
      <c r="I21" s="6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88"/>
      <c r="AB21" s="288"/>
    </row>
    <row r="22" ht="6.0" customHeight="1">
      <c r="A22" s="288"/>
      <c r="B22" s="68"/>
      <c r="C22" s="68"/>
      <c r="D22" s="68"/>
      <c r="E22" s="68"/>
      <c r="F22" s="68"/>
      <c r="G22" s="68"/>
      <c r="H22" s="68"/>
      <c r="I22" s="68"/>
      <c r="J22" s="288"/>
      <c r="K22" s="288"/>
      <c r="L22" s="288"/>
      <c r="M22" s="288"/>
      <c r="N22" s="288"/>
      <c r="O22" s="68"/>
      <c r="P22" s="68"/>
      <c r="Q22" s="288"/>
      <c r="R22" s="288"/>
      <c r="S22" s="288"/>
      <c r="T22" s="288"/>
      <c r="U22" s="288"/>
      <c r="V22" s="288"/>
      <c r="W22" s="288"/>
      <c r="X22" s="288"/>
      <c r="Y22" s="288"/>
      <c r="Z22" s="288"/>
      <c r="AA22" s="288"/>
      <c r="AB22" s="288"/>
    </row>
    <row r="23" ht="16.5" customHeight="1">
      <c r="A23" s="288"/>
      <c r="B23" s="297" t="s">
        <v>636</v>
      </c>
      <c r="C23" s="175"/>
      <c r="D23" s="175"/>
      <c r="E23" s="175"/>
      <c r="F23" s="175"/>
      <c r="G23" s="176"/>
      <c r="H23" s="68"/>
      <c r="I23" s="68"/>
      <c r="J23" s="288"/>
      <c r="K23" s="288"/>
      <c r="L23" s="288"/>
      <c r="M23" s="288"/>
      <c r="N23" s="288"/>
      <c r="O23" s="68"/>
      <c r="P23" s="68"/>
      <c r="Q23" s="288"/>
      <c r="R23" s="288"/>
      <c r="S23" s="288"/>
      <c r="T23" s="288"/>
      <c r="U23" s="288"/>
      <c r="V23" s="288"/>
      <c r="W23" s="288"/>
      <c r="X23" s="288"/>
      <c r="Y23" s="288"/>
      <c r="Z23" s="288"/>
      <c r="AA23" s="288"/>
      <c r="AB23" s="288"/>
    </row>
    <row r="24" ht="16.5" customHeight="1">
      <c r="A24" s="288"/>
      <c r="B24" s="291" t="s">
        <v>591</v>
      </c>
      <c r="C24" s="291" t="s">
        <v>610</v>
      </c>
      <c r="D24" s="130" t="s">
        <v>611</v>
      </c>
      <c r="E24" s="291" t="s">
        <v>612</v>
      </c>
      <c r="F24" s="130" t="s">
        <v>613</v>
      </c>
      <c r="G24" s="291" t="s">
        <v>24</v>
      </c>
      <c r="H24" s="68"/>
      <c r="I24" s="6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  <c r="Z24" s="288"/>
      <c r="AA24" s="288"/>
      <c r="AB24" s="288"/>
    </row>
    <row r="25" ht="16.5" customHeight="1">
      <c r="A25" s="288"/>
      <c r="B25" s="266" t="s">
        <v>617</v>
      </c>
      <c r="C25" s="266" t="s">
        <v>618</v>
      </c>
      <c r="D25" s="293">
        <v>46219.0</v>
      </c>
      <c r="E25" s="293">
        <v>46584.0</v>
      </c>
      <c r="F25" s="266">
        <f t="shared" ref="F25:F30" si="9">TODAY()-E25</f>
        <v>-332</v>
      </c>
      <c r="G25" s="296" t="str">
        <f t="shared" ref="G25:G30" si="10">IF(F25&gt;=-10,"RENOVAR","VIGENTE")</f>
        <v>VIGENTE</v>
      </c>
      <c r="H25" s="68"/>
      <c r="I25" s="6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  <c r="Z25" s="288"/>
      <c r="AA25" s="288"/>
      <c r="AB25" s="288"/>
    </row>
    <row r="26" ht="16.5" customHeight="1">
      <c r="A26" s="288"/>
      <c r="B26" s="266" t="s">
        <v>622</v>
      </c>
      <c r="C26" s="266" t="s">
        <v>623</v>
      </c>
      <c r="D26" s="293">
        <v>46219.0</v>
      </c>
      <c r="E26" s="293">
        <v>46584.0</v>
      </c>
      <c r="F26" s="266">
        <f t="shared" si="9"/>
        <v>-332</v>
      </c>
      <c r="G26" s="296" t="str">
        <f t="shared" si="10"/>
        <v>VIGENTE</v>
      </c>
      <c r="H26" s="68"/>
      <c r="I26" s="6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  <c r="Z26" s="288"/>
      <c r="AA26" s="288"/>
      <c r="AB26" s="288"/>
    </row>
    <row r="27" ht="16.5" customHeight="1">
      <c r="A27" s="288"/>
      <c r="B27" s="266" t="s">
        <v>626</v>
      </c>
      <c r="C27" s="266" t="s">
        <v>627</v>
      </c>
      <c r="D27" s="293">
        <v>46219.0</v>
      </c>
      <c r="E27" s="293">
        <v>46584.0</v>
      </c>
      <c r="F27" s="266">
        <f t="shared" si="9"/>
        <v>-332</v>
      </c>
      <c r="G27" s="296" t="str">
        <f t="shared" si="10"/>
        <v>VIGENTE</v>
      </c>
      <c r="H27" s="68"/>
      <c r="I27" s="68"/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  <c r="Z27" s="288"/>
      <c r="AA27" s="288"/>
      <c r="AB27" s="288"/>
    </row>
    <row r="28" ht="16.5" customHeight="1">
      <c r="A28" s="288"/>
      <c r="B28" s="105" t="s">
        <v>634</v>
      </c>
      <c r="C28" s="105" t="s">
        <v>631</v>
      </c>
      <c r="D28" s="293">
        <v>46219.0</v>
      </c>
      <c r="E28" s="293">
        <v>46584.0</v>
      </c>
      <c r="F28" s="266">
        <f t="shared" si="9"/>
        <v>-332</v>
      </c>
      <c r="G28" s="296" t="str">
        <f t="shared" si="10"/>
        <v>VIGENTE</v>
      </c>
      <c r="H28" s="68"/>
      <c r="I28" s="68"/>
      <c r="J28" s="288"/>
      <c r="K28" s="288"/>
      <c r="L28" s="288"/>
      <c r="M28" s="288"/>
      <c r="N28" s="288"/>
      <c r="O28" s="288"/>
      <c r="P28" s="288"/>
      <c r="Q28" s="288"/>
      <c r="R28" s="288"/>
      <c r="S28" s="288"/>
      <c r="T28" s="288"/>
      <c r="U28" s="288"/>
      <c r="V28" s="288"/>
      <c r="W28" s="288"/>
      <c r="X28" s="288"/>
      <c r="Y28" s="288"/>
      <c r="Z28" s="288"/>
      <c r="AA28" s="288"/>
      <c r="AB28" s="288"/>
    </row>
    <row r="29" ht="16.5" customHeight="1">
      <c r="A29" s="288"/>
      <c r="B29" s="105" t="s">
        <v>637</v>
      </c>
      <c r="C29" s="105" t="s">
        <v>620</v>
      </c>
      <c r="D29" s="293">
        <v>46057.0</v>
      </c>
      <c r="E29" s="293">
        <v>46422.0</v>
      </c>
      <c r="F29" s="266">
        <f t="shared" si="9"/>
        <v>-170</v>
      </c>
      <c r="G29" s="296" t="str">
        <f t="shared" si="10"/>
        <v>VIGENTE</v>
      </c>
      <c r="H29" s="68"/>
      <c r="I29" s="68"/>
      <c r="J29" s="288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288"/>
      <c r="Z29" s="288"/>
      <c r="AA29" s="288"/>
      <c r="AB29" s="288"/>
    </row>
    <row r="30" ht="16.5" customHeight="1">
      <c r="A30" s="288"/>
      <c r="B30" s="105" t="s">
        <v>638</v>
      </c>
      <c r="C30" s="105" t="s">
        <v>624</v>
      </c>
      <c r="D30" s="293">
        <v>46057.0</v>
      </c>
      <c r="E30" s="293">
        <v>46422.0</v>
      </c>
      <c r="F30" s="266">
        <f t="shared" si="9"/>
        <v>-170</v>
      </c>
      <c r="G30" s="296" t="str">
        <f t="shared" si="10"/>
        <v>VIGENTE</v>
      </c>
      <c r="H30" s="68"/>
      <c r="I30" s="68"/>
      <c r="J30" s="101"/>
      <c r="K30" s="101"/>
      <c r="L30" s="101"/>
      <c r="M30" s="101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88"/>
      <c r="AB30" s="288"/>
    </row>
    <row r="31" ht="15.75" customHeight="1">
      <c r="A31" s="288"/>
      <c r="B31" s="68"/>
      <c r="C31" s="68"/>
      <c r="D31" s="68"/>
      <c r="E31" s="68"/>
      <c r="F31" s="68"/>
      <c r="G31" s="68"/>
      <c r="H31" s="68"/>
      <c r="I31" s="68"/>
      <c r="J31" s="101"/>
      <c r="K31" s="101"/>
      <c r="L31" s="101"/>
      <c r="M31" s="101"/>
      <c r="N31" s="68"/>
      <c r="O31" s="68"/>
      <c r="P31" s="68"/>
      <c r="Q31" s="288"/>
      <c r="R31" s="288"/>
      <c r="S31" s="288"/>
      <c r="T31" s="288"/>
      <c r="U31" s="288"/>
      <c r="V31" s="288"/>
      <c r="W31" s="288"/>
      <c r="X31" s="288"/>
      <c r="Y31" s="288"/>
      <c r="Z31" s="288"/>
      <c r="AA31" s="288"/>
      <c r="AB31" s="288"/>
    </row>
    <row r="32" ht="15.75" customHeight="1">
      <c r="A32" s="115"/>
      <c r="B32" s="68"/>
      <c r="C32" s="68"/>
      <c r="D32" s="68"/>
      <c r="E32" s="68"/>
      <c r="F32" s="68"/>
      <c r="G32" s="68"/>
      <c r="H32" s="101"/>
      <c r="I32" s="101"/>
      <c r="J32" s="101"/>
      <c r="K32" s="101"/>
      <c r="L32" s="101"/>
      <c r="M32" s="101"/>
      <c r="N32" s="101"/>
      <c r="O32" s="50"/>
      <c r="P32" s="50"/>
    </row>
    <row r="33" ht="15.75" customHeight="1">
      <c r="A33" s="115"/>
      <c r="B33" s="68"/>
      <c r="C33" s="68"/>
      <c r="D33" s="68"/>
      <c r="E33" s="68"/>
      <c r="F33" s="68"/>
      <c r="G33" s="68"/>
      <c r="H33" s="101"/>
      <c r="I33" s="101"/>
      <c r="J33" s="101"/>
      <c r="K33" s="101"/>
      <c r="L33" s="101"/>
      <c r="M33" s="101"/>
      <c r="N33" s="101"/>
      <c r="O33" s="50"/>
      <c r="P33" s="50"/>
    </row>
    <row r="34" ht="15.75" customHeight="1">
      <c r="A34" s="115"/>
      <c r="B34" s="68"/>
      <c r="C34" s="68"/>
      <c r="D34" s="68"/>
      <c r="E34" s="68"/>
      <c r="F34" s="68"/>
      <c r="G34" s="68"/>
      <c r="H34" s="101"/>
      <c r="I34" s="101"/>
      <c r="J34" s="101"/>
      <c r="K34" s="101"/>
      <c r="L34" s="101"/>
      <c r="M34" s="101"/>
      <c r="N34" s="101"/>
      <c r="O34" s="50"/>
      <c r="P34" s="50"/>
    </row>
    <row r="35" ht="15.75" customHeight="1">
      <c r="A35" s="115"/>
      <c r="B35" s="68"/>
      <c r="C35" s="68"/>
      <c r="D35" s="68"/>
      <c r="E35" s="68"/>
      <c r="F35" s="68"/>
      <c r="G35" s="68"/>
      <c r="H35" s="101"/>
      <c r="I35" s="101"/>
      <c r="J35" s="101"/>
      <c r="K35" s="101"/>
      <c r="L35" s="101"/>
      <c r="M35" s="101"/>
      <c r="N35" s="101"/>
      <c r="O35" s="50"/>
      <c r="P35" s="50"/>
    </row>
    <row r="36" ht="15.75" customHeight="1">
      <c r="A36" s="115"/>
      <c r="B36" s="108"/>
      <c r="C36" s="68"/>
      <c r="D36" s="68"/>
      <c r="E36" s="68"/>
      <c r="F36" s="68"/>
      <c r="G36" s="68"/>
      <c r="H36" s="101"/>
      <c r="I36" s="101"/>
      <c r="J36" s="101"/>
      <c r="K36" s="101"/>
      <c r="L36" s="101"/>
      <c r="M36" s="101"/>
      <c r="N36" s="101"/>
      <c r="O36" s="50"/>
      <c r="P36" s="50"/>
    </row>
    <row r="37" ht="15.75" customHeight="1">
      <c r="A37" s="115"/>
      <c r="B37" s="108"/>
      <c r="C37" s="68"/>
      <c r="D37" s="68"/>
      <c r="E37" s="68"/>
      <c r="F37" s="68"/>
      <c r="G37" s="68"/>
      <c r="H37" s="101"/>
      <c r="I37" s="101"/>
      <c r="J37" s="101"/>
      <c r="K37" s="101"/>
      <c r="L37" s="101"/>
      <c r="M37" s="101"/>
      <c r="N37" s="101"/>
      <c r="O37" s="50"/>
      <c r="P37" s="50"/>
    </row>
    <row r="38" ht="15.75" customHeight="1">
      <c r="A38" s="115"/>
      <c r="B38" s="108"/>
      <c r="C38" s="68"/>
      <c r="D38" s="68"/>
      <c r="E38" s="68"/>
      <c r="F38" s="68"/>
      <c r="G38" s="68"/>
      <c r="H38" s="101"/>
      <c r="I38" s="101"/>
      <c r="J38" s="101"/>
      <c r="K38" s="101"/>
      <c r="L38" s="101"/>
      <c r="M38" s="101"/>
      <c r="N38" s="101"/>
      <c r="O38" s="50"/>
      <c r="P38" s="50"/>
    </row>
    <row r="39" ht="15.75" customHeight="1">
      <c r="A39" s="115"/>
      <c r="B39" s="108"/>
      <c r="C39" s="68"/>
      <c r="D39" s="68"/>
      <c r="E39" s="68"/>
      <c r="F39" s="68"/>
      <c r="G39" s="68"/>
      <c r="H39" s="101"/>
      <c r="I39" s="101"/>
      <c r="J39" s="101"/>
      <c r="K39" s="101"/>
      <c r="L39" s="101"/>
      <c r="M39" s="101"/>
      <c r="N39" s="101"/>
      <c r="O39" s="50"/>
      <c r="P39" s="50"/>
    </row>
    <row r="40" ht="15.75" customHeight="1">
      <c r="A40" s="115"/>
      <c r="B40" s="68"/>
      <c r="C40" s="68"/>
      <c r="D40" s="68"/>
      <c r="E40" s="68"/>
      <c r="F40" s="68"/>
      <c r="G40" s="68"/>
      <c r="H40" s="101"/>
      <c r="I40" s="101"/>
      <c r="J40" s="101"/>
      <c r="K40" s="101"/>
      <c r="L40" s="101"/>
      <c r="M40" s="101"/>
      <c r="N40" s="101"/>
      <c r="O40" s="50"/>
      <c r="P40" s="50"/>
    </row>
    <row r="41" ht="15.75" customHeight="1">
      <c r="A41" s="115"/>
      <c r="B41" s="68"/>
      <c r="C41" s="68"/>
      <c r="D41" s="68"/>
      <c r="E41" s="68"/>
      <c r="F41" s="68"/>
      <c r="G41" s="68"/>
      <c r="H41" s="101"/>
      <c r="I41" s="101"/>
      <c r="J41" s="101"/>
      <c r="K41" s="101"/>
      <c r="L41" s="101"/>
      <c r="M41" s="101"/>
      <c r="N41" s="101"/>
      <c r="O41" s="50"/>
      <c r="P41" s="50"/>
    </row>
    <row r="42" ht="15.75" customHeight="1">
      <c r="A42" s="115"/>
      <c r="B42" s="68"/>
      <c r="C42" s="68"/>
      <c r="D42" s="68"/>
      <c r="E42" s="68"/>
      <c r="F42" s="68"/>
      <c r="G42" s="68"/>
      <c r="H42" s="101"/>
      <c r="I42" s="101"/>
      <c r="J42" s="101"/>
      <c r="K42" s="101"/>
      <c r="L42" s="101"/>
      <c r="M42" s="101"/>
      <c r="N42" s="101"/>
      <c r="O42" s="50"/>
      <c r="P42" s="50"/>
    </row>
    <row r="43" ht="15.75" customHeight="1">
      <c r="A43" s="115"/>
      <c r="B43" s="68"/>
      <c r="C43" s="68"/>
      <c r="D43" s="68"/>
      <c r="E43" s="68"/>
      <c r="F43" s="68"/>
      <c r="G43" s="68"/>
      <c r="H43" s="101"/>
      <c r="I43" s="101"/>
      <c r="J43" s="101"/>
      <c r="K43" s="101"/>
      <c r="L43" s="101"/>
      <c r="M43" s="101"/>
      <c r="N43" s="101"/>
      <c r="O43" s="50"/>
      <c r="P43" s="50"/>
    </row>
    <row r="44" ht="15.75" customHeight="1">
      <c r="A44" s="115"/>
      <c r="B44" s="68"/>
      <c r="C44" s="68"/>
      <c r="D44" s="68"/>
      <c r="E44" s="68"/>
      <c r="F44" s="68"/>
      <c r="G44" s="68"/>
      <c r="H44" s="101"/>
      <c r="I44" s="101"/>
      <c r="J44" s="101"/>
      <c r="K44" s="101"/>
      <c r="L44" s="101"/>
      <c r="M44" s="101"/>
      <c r="N44" s="101"/>
      <c r="O44" s="50"/>
      <c r="P44" s="50"/>
    </row>
    <row r="45" ht="15.75" customHeight="1">
      <c r="A45" s="115"/>
      <c r="B45" s="68"/>
      <c r="C45" s="68"/>
      <c r="D45" s="68"/>
      <c r="E45" s="68"/>
      <c r="F45" s="68"/>
      <c r="G45" s="68"/>
      <c r="H45" s="101"/>
      <c r="I45" s="101"/>
      <c r="J45" s="101"/>
      <c r="K45" s="101"/>
      <c r="L45" s="101"/>
      <c r="M45" s="101"/>
      <c r="N45" s="101"/>
      <c r="O45" s="50"/>
      <c r="P45" s="50"/>
    </row>
    <row r="46" ht="15.75" customHeight="1">
      <c r="A46" s="115"/>
      <c r="B46" s="68"/>
      <c r="C46" s="68"/>
      <c r="D46" s="68"/>
      <c r="E46" s="68"/>
      <c r="F46" s="68"/>
      <c r="G46" s="68"/>
      <c r="H46" s="101"/>
      <c r="I46" s="101"/>
      <c r="J46" s="101"/>
      <c r="K46" s="101"/>
      <c r="L46" s="101"/>
      <c r="M46" s="101"/>
      <c r="N46" s="101"/>
      <c r="O46" s="50"/>
      <c r="P46" s="50"/>
    </row>
    <row r="47" ht="15.75" customHeight="1">
      <c r="A47" s="115"/>
      <c r="B47" s="68"/>
      <c r="C47" s="68"/>
      <c r="D47" s="68"/>
      <c r="E47" s="68"/>
      <c r="F47" s="68"/>
      <c r="G47" s="68"/>
      <c r="H47" s="101"/>
      <c r="I47" s="101"/>
      <c r="J47" s="101"/>
      <c r="K47" s="101"/>
      <c r="L47" s="101"/>
      <c r="M47" s="101"/>
      <c r="N47" s="101"/>
      <c r="O47" s="50"/>
      <c r="P47" s="50"/>
    </row>
    <row r="48" ht="15.75" customHeight="1">
      <c r="A48" s="115"/>
      <c r="B48" s="68"/>
      <c r="C48" s="68"/>
      <c r="D48" s="68"/>
      <c r="E48" s="68"/>
      <c r="F48" s="68"/>
      <c r="G48" s="68"/>
      <c r="H48" s="101"/>
      <c r="I48" s="101"/>
      <c r="J48" s="101"/>
      <c r="K48" s="101"/>
      <c r="L48" s="101"/>
      <c r="M48" s="101"/>
      <c r="N48" s="101"/>
      <c r="O48" s="50"/>
      <c r="P48" s="50"/>
    </row>
    <row r="49" ht="15.75" customHeight="1">
      <c r="A49" s="115"/>
      <c r="B49" s="68"/>
      <c r="C49" s="68"/>
      <c r="D49" s="68"/>
      <c r="E49" s="68"/>
      <c r="F49" s="68"/>
      <c r="G49" s="68"/>
      <c r="H49" s="101"/>
      <c r="I49" s="101"/>
      <c r="J49" s="101"/>
      <c r="K49" s="101"/>
      <c r="L49" s="101"/>
      <c r="M49" s="101"/>
      <c r="N49" s="101"/>
      <c r="O49" s="50"/>
      <c r="P49" s="50"/>
    </row>
    <row r="50" ht="15.75" customHeight="1">
      <c r="A50" s="115"/>
      <c r="B50" s="68"/>
      <c r="C50" s="68"/>
      <c r="D50" s="68"/>
      <c r="E50" s="68"/>
      <c r="F50" s="68"/>
      <c r="G50" s="68"/>
      <c r="H50" s="101"/>
      <c r="I50" s="101"/>
      <c r="J50" s="101"/>
      <c r="K50" s="101"/>
      <c r="L50" s="101"/>
      <c r="M50" s="101"/>
      <c r="N50" s="101"/>
      <c r="O50" s="50"/>
      <c r="P50" s="50"/>
    </row>
    <row r="51" ht="15.75" customHeight="1">
      <c r="A51" s="115"/>
      <c r="B51" s="68"/>
      <c r="C51" s="68"/>
      <c r="D51" s="68"/>
      <c r="E51" s="68"/>
      <c r="F51" s="68"/>
      <c r="G51" s="68"/>
      <c r="H51" s="101"/>
      <c r="I51" s="101"/>
      <c r="J51" s="101"/>
      <c r="K51" s="101"/>
      <c r="L51" s="101"/>
      <c r="M51" s="101"/>
      <c r="N51" s="101"/>
      <c r="O51" s="50"/>
      <c r="P51" s="50"/>
    </row>
    <row r="52" ht="15.75" customHeight="1">
      <c r="A52" s="115"/>
      <c r="B52" s="68"/>
      <c r="C52" s="68"/>
      <c r="D52" s="68"/>
      <c r="E52" s="68"/>
      <c r="F52" s="68"/>
      <c r="G52" s="68"/>
      <c r="H52" s="101"/>
      <c r="I52" s="101"/>
      <c r="J52" s="101"/>
      <c r="K52" s="101"/>
      <c r="L52" s="101"/>
      <c r="M52" s="101"/>
      <c r="N52" s="101"/>
      <c r="O52" s="50"/>
      <c r="P52" s="50"/>
    </row>
    <row r="53" ht="15.75" customHeight="1">
      <c r="A53" s="115"/>
      <c r="B53" s="68"/>
      <c r="C53" s="68"/>
      <c r="D53" s="68"/>
      <c r="E53" s="68"/>
      <c r="F53" s="68"/>
      <c r="G53" s="68"/>
      <c r="H53" s="101"/>
      <c r="I53" s="101"/>
      <c r="J53" s="101"/>
      <c r="K53" s="101"/>
      <c r="L53" s="101"/>
      <c r="M53" s="101"/>
      <c r="N53" s="101"/>
      <c r="O53" s="50"/>
      <c r="P53" s="50"/>
    </row>
    <row r="54" ht="15.75" customHeight="1">
      <c r="A54" s="115"/>
      <c r="B54" s="68"/>
      <c r="C54" s="68"/>
      <c r="D54" s="68"/>
      <c r="E54" s="68"/>
      <c r="F54" s="68"/>
      <c r="G54" s="68"/>
      <c r="H54" s="101"/>
      <c r="I54" s="101"/>
      <c r="J54" s="101"/>
      <c r="K54" s="101"/>
      <c r="L54" s="101"/>
      <c r="M54" s="101"/>
      <c r="N54" s="101"/>
      <c r="O54" s="50"/>
      <c r="P54" s="50"/>
    </row>
    <row r="55" ht="15.75" customHeight="1">
      <c r="A55" s="115"/>
      <c r="B55" s="68"/>
      <c r="C55" s="68"/>
      <c r="D55" s="68"/>
      <c r="E55" s="68"/>
      <c r="F55" s="68"/>
      <c r="G55" s="68"/>
      <c r="H55" s="101"/>
      <c r="I55" s="101"/>
      <c r="J55" s="101"/>
      <c r="K55" s="101"/>
      <c r="L55" s="101"/>
      <c r="M55" s="101"/>
      <c r="N55" s="101"/>
      <c r="O55" s="50"/>
      <c r="P55" s="50"/>
    </row>
    <row r="56" ht="15.75" customHeight="1">
      <c r="A56" s="115"/>
      <c r="B56" s="68"/>
      <c r="C56" s="68"/>
      <c r="D56" s="68"/>
      <c r="E56" s="68"/>
      <c r="F56" s="68"/>
      <c r="G56" s="68"/>
      <c r="H56" s="101"/>
      <c r="I56" s="101"/>
      <c r="J56" s="101"/>
      <c r="K56" s="101"/>
      <c r="L56" s="101"/>
      <c r="M56" s="101"/>
      <c r="N56" s="101"/>
      <c r="O56" s="50"/>
      <c r="P56" s="50"/>
    </row>
    <row r="57" ht="15.75" customHeight="1">
      <c r="A57" s="115"/>
      <c r="B57" s="68"/>
      <c r="C57" s="68"/>
      <c r="D57" s="68"/>
      <c r="E57" s="68"/>
      <c r="F57" s="68"/>
      <c r="G57" s="68"/>
      <c r="H57" s="101"/>
      <c r="I57" s="101"/>
      <c r="J57" s="101"/>
      <c r="K57" s="101"/>
      <c r="L57" s="101"/>
      <c r="M57" s="101"/>
      <c r="N57" s="101"/>
      <c r="O57" s="50"/>
      <c r="P57" s="50"/>
    </row>
    <row r="58" ht="15.75" customHeight="1">
      <c r="A58" s="115"/>
      <c r="B58" s="68"/>
      <c r="C58" s="68"/>
      <c r="D58" s="68"/>
      <c r="E58" s="68"/>
      <c r="F58" s="68"/>
      <c r="G58" s="68"/>
      <c r="H58" s="101"/>
      <c r="I58" s="101"/>
      <c r="J58" s="101"/>
      <c r="K58" s="101"/>
      <c r="L58" s="101"/>
      <c r="M58" s="101"/>
      <c r="N58" s="101"/>
      <c r="O58" s="50"/>
      <c r="P58" s="50"/>
    </row>
    <row r="59" ht="15.75" customHeight="1">
      <c r="A59" s="115"/>
      <c r="B59" s="68"/>
      <c r="C59" s="68"/>
      <c r="D59" s="68"/>
      <c r="E59" s="68"/>
      <c r="F59" s="68"/>
      <c r="G59" s="68"/>
      <c r="H59" s="101"/>
      <c r="I59" s="101"/>
      <c r="J59" s="101"/>
      <c r="K59" s="101"/>
      <c r="L59" s="101"/>
      <c r="M59" s="101"/>
      <c r="N59" s="101"/>
      <c r="O59" s="50"/>
      <c r="P59" s="50"/>
    </row>
    <row r="60" ht="15.75" customHeight="1">
      <c r="A60" s="115"/>
      <c r="B60" s="68"/>
      <c r="C60" s="68"/>
      <c r="D60" s="68"/>
      <c r="E60" s="68"/>
      <c r="F60" s="68"/>
      <c r="G60" s="68"/>
      <c r="H60" s="101"/>
      <c r="I60" s="101"/>
      <c r="J60" s="101"/>
      <c r="K60" s="101"/>
      <c r="L60" s="101"/>
      <c r="M60" s="101"/>
      <c r="N60" s="101"/>
      <c r="O60" s="50"/>
      <c r="P60" s="50"/>
    </row>
    <row r="61" ht="15.75" customHeight="1">
      <c r="A61" s="115"/>
      <c r="B61" s="68"/>
      <c r="C61" s="68"/>
      <c r="D61" s="68"/>
      <c r="E61" s="68"/>
      <c r="F61" s="68"/>
      <c r="G61" s="68"/>
      <c r="H61" s="101"/>
      <c r="I61" s="101"/>
      <c r="J61" s="101"/>
      <c r="K61" s="101"/>
      <c r="L61" s="101"/>
      <c r="M61" s="101"/>
      <c r="N61" s="101"/>
      <c r="O61" s="50"/>
      <c r="P61" s="50"/>
    </row>
    <row r="62" ht="15.75" customHeight="1">
      <c r="A62" s="115"/>
      <c r="B62" s="68"/>
      <c r="C62" s="68"/>
      <c r="D62" s="68"/>
      <c r="E62" s="68"/>
      <c r="F62" s="68"/>
      <c r="G62" s="68"/>
      <c r="H62" s="101"/>
      <c r="I62" s="101"/>
      <c r="J62" s="101"/>
      <c r="K62" s="101"/>
      <c r="L62" s="101"/>
      <c r="M62" s="101"/>
      <c r="N62" s="101"/>
      <c r="O62" s="50"/>
      <c r="P62" s="50"/>
    </row>
    <row r="63" ht="15.75" customHeight="1">
      <c r="A63" s="115"/>
      <c r="B63" s="68"/>
      <c r="C63" s="68"/>
      <c r="D63" s="68"/>
      <c r="E63" s="68"/>
      <c r="F63" s="68"/>
      <c r="G63" s="68"/>
      <c r="H63" s="101"/>
      <c r="I63" s="101"/>
      <c r="J63" s="101"/>
      <c r="K63" s="101"/>
      <c r="L63" s="101"/>
      <c r="M63" s="101"/>
      <c r="N63" s="101"/>
      <c r="O63" s="50"/>
      <c r="P63" s="50"/>
    </row>
    <row r="64" ht="15.75" customHeight="1">
      <c r="A64" s="115"/>
      <c r="B64" s="68"/>
      <c r="C64" s="68"/>
      <c r="D64" s="68"/>
      <c r="E64" s="68"/>
      <c r="F64" s="68"/>
      <c r="G64" s="68"/>
      <c r="H64" s="101"/>
      <c r="I64" s="101"/>
      <c r="J64" s="101"/>
      <c r="K64" s="101"/>
      <c r="L64" s="101"/>
      <c r="M64" s="101"/>
      <c r="N64" s="101"/>
      <c r="O64" s="50"/>
      <c r="P64" s="50"/>
    </row>
    <row r="65" ht="15.75" customHeight="1">
      <c r="A65" s="115"/>
      <c r="B65" s="68"/>
      <c r="C65" s="68"/>
      <c r="D65" s="68"/>
      <c r="E65" s="68"/>
      <c r="F65" s="68"/>
      <c r="G65" s="68"/>
      <c r="H65" s="101"/>
      <c r="I65" s="101"/>
      <c r="J65" s="101"/>
      <c r="K65" s="101"/>
      <c r="L65" s="101"/>
      <c r="M65" s="101"/>
      <c r="N65" s="101"/>
      <c r="O65" s="50"/>
      <c r="P65" s="50"/>
    </row>
    <row r="66" ht="15.75" customHeight="1">
      <c r="A66" s="115"/>
      <c r="B66" s="68"/>
      <c r="C66" s="68"/>
      <c r="D66" s="68"/>
      <c r="E66" s="68"/>
      <c r="F66" s="68"/>
      <c r="G66" s="68"/>
      <c r="H66" s="101"/>
      <c r="I66" s="101"/>
      <c r="J66" s="101"/>
      <c r="K66" s="101"/>
      <c r="L66" s="101"/>
      <c r="M66" s="101"/>
      <c r="N66" s="101"/>
      <c r="O66" s="50"/>
      <c r="P66" s="50"/>
    </row>
    <row r="67" ht="15.75" customHeight="1">
      <c r="A67" s="115"/>
      <c r="B67" s="68"/>
      <c r="C67" s="68"/>
      <c r="D67" s="68"/>
      <c r="E67" s="68"/>
      <c r="F67" s="68"/>
      <c r="G67" s="68"/>
      <c r="H67" s="101"/>
      <c r="I67" s="101"/>
      <c r="J67" s="101"/>
      <c r="K67" s="101"/>
      <c r="L67" s="101"/>
      <c r="M67" s="101"/>
      <c r="N67" s="101"/>
      <c r="O67" s="50"/>
      <c r="P67" s="50"/>
    </row>
    <row r="68" ht="15.75" customHeight="1">
      <c r="A68" s="115"/>
      <c r="B68" s="68"/>
      <c r="C68" s="68"/>
      <c r="D68" s="68"/>
      <c r="E68" s="68"/>
      <c r="F68" s="68"/>
      <c r="G68" s="68"/>
      <c r="H68" s="101"/>
      <c r="I68" s="101"/>
      <c r="J68" s="101"/>
      <c r="K68" s="101"/>
      <c r="L68" s="101"/>
      <c r="M68" s="101"/>
      <c r="N68" s="101"/>
      <c r="O68" s="50"/>
      <c r="P68" s="50"/>
    </row>
    <row r="69" ht="15.75" customHeight="1">
      <c r="A69" s="115"/>
      <c r="B69" s="68"/>
      <c r="C69" s="68"/>
      <c r="D69" s="68"/>
      <c r="E69" s="68"/>
      <c r="F69" s="68"/>
      <c r="G69" s="68"/>
      <c r="H69" s="101"/>
      <c r="I69" s="101"/>
      <c r="J69" s="101"/>
      <c r="K69" s="101"/>
      <c r="L69" s="101"/>
      <c r="M69" s="101"/>
      <c r="N69" s="101"/>
      <c r="O69" s="50"/>
      <c r="P69" s="50"/>
    </row>
    <row r="70" ht="15.75" customHeight="1">
      <c r="A70" s="115"/>
      <c r="B70" s="68"/>
      <c r="C70" s="68"/>
      <c r="D70" s="68"/>
      <c r="E70" s="68"/>
      <c r="F70" s="68"/>
      <c r="G70" s="68"/>
      <c r="H70" s="101"/>
      <c r="I70" s="101"/>
      <c r="J70" s="101"/>
      <c r="K70" s="101"/>
      <c r="L70" s="101"/>
      <c r="M70" s="101"/>
      <c r="N70" s="101"/>
      <c r="O70" s="50"/>
      <c r="P70" s="50"/>
    </row>
    <row r="71" ht="15.75" customHeight="1">
      <c r="A71" s="115"/>
      <c r="B71" s="68"/>
      <c r="C71" s="68"/>
      <c r="D71" s="68"/>
      <c r="E71" s="68"/>
      <c r="F71" s="68"/>
      <c r="G71" s="68"/>
      <c r="H71" s="101"/>
      <c r="I71" s="101"/>
      <c r="J71" s="101"/>
      <c r="K71" s="101"/>
      <c r="L71" s="101"/>
      <c r="M71" s="101"/>
      <c r="N71" s="101"/>
      <c r="O71" s="50"/>
      <c r="P71" s="50"/>
    </row>
    <row r="72" ht="15.75" customHeight="1">
      <c r="A72" s="115"/>
      <c r="B72" s="68"/>
      <c r="C72" s="68"/>
      <c r="D72" s="68"/>
      <c r="E72" s="68"/>
      <c r="F72" s="68"/>
      <c r="G72" s="68"/>
      <c r="H72" s="101"/>
      <c r="I72" s="101"/>
      <c r="J72" s="101"/>
      <c r="K72" s="101"/>
      <c r="L72" s="101"/>
      <c r="M72" s="101"/>
      <c r="N72" s="101"/>
      <c r="O72" s="50"/>
      <c r="P72" s="50"/>
    </row>
    <row r="73" ht="15.75" customHeight="1">
      <c r="A73" s="115"/>
      <c r="B73" s="68"/>
      <c r="C73" s="68"/>
      <c r="D73" s="68"/>
      <c r="E73" s="68"/>
      <c r="F73" s="68"/>
      <c r="G73" s="68"/>
      <c r="H73" s="101"/>
      <c r="I73" s="101"/>
      <c r="J73" s="101"/>
      <c r="K73" s="101"/>
      <c r="L73" s="101"/>
      <c r="M73" s="101"/>
      <c r="N73" s="101"/>
      <c r="O73" s="50"/>
      <c r="P73" s="50"/>
    </row>
    <row r="74" ht="15.75" customHeight="1">
      <c r="A74" s="115"/>
      <c r="B74" s="68"/>
      <c r="C74" s="68"/>
      <c r="D74" s="68"/>
      <c r="E74" s="68"/>
      <c r="F74" s="68"/>
      <c r="G74" s="68"/>
      <c r="H74" s="101"/>
      <c r="I74" s="101"/>
      <c r="J74" s="101"/>
      <c r="K74" s="101"/>
      <c r="L74" s="101"/>
      <c r="M74" s="101"/>
      <c r="N74" s="101"/>
      <c r="O74" s="50"/>
      <c r="P74" s="50"/>
    </row>
    <row r="75" ht="15.75" customHeight="1">
      <c r="A75" s="115"/>
      <c r="B75" s="68"/>
      <c r="C75" s="68"/>
      <c r="D75" s="68"/>
      <c r="E75" s="68"/>
      <c r="F75" s="68"/>
      <c r="G75" s="68"/>
      <c r="H75" s="101"/>
      <c r="I75" s="101"/>
      <c r="J75" s="101"/>
      <c r="K75" s="101"/>
      <c r="L75" s="101"/>
      <c r="M75" s="101"/>
      <c r="N75" s="101"/>
      <c r="O75" s="50"/>
      <c r="P75" s="50"/>
    </row>
    <row r="76" ht="15.75" customHeight="1">
      <c r="A76" s="115"/>
      <c r="B76" s="68"/>
      <c r="C76" s="68"/>
      <c r="D76" s="68"/>
      <c r="E76" s="68"/>
      <c r="F76" s="68"/>
      <c r="G76" s="68"/>
      <c r="H76" s="101"/>
      <c r="I76" s="101"/>
      <c r="J76" s="101"/>
      <c r="K76" s="101"/>
      <c r="L76" s="101"/>
      <c r="M76" s="101"/>
      <c r="N76" s="101"/>
      <c r="O76" s="50"/>
      <c r="P76" s="50"/>
    </row>
    <row r="77" ht="15.75" customHeight="1">
      <c r="A77" s="115"/>
      <c r="B77" s="68"/>
      <c r="C77" s="68"/>
      <c r="D77" s="68"/>
      <c r="E77" s="68"/>
      <c r="F77" s="68"/>
      <c r="G77" s="68"/>
      <c r="H77" s="101"/>
      <c r="I77" s="101"/>
      <c r="J77" s="101"/>
      <c r="K77" s="101"/>
      <c r="L77" s="101"/>
      <c r="M77" s="101"/>
      <c r="N77" s="101"/>
      <c r="O77" s="50"/>
      <c r="P77" s="50"/>
    </row>
    <row r="78" ht="15.75" customHeight="1">
      <c r="A78" s="115"/>
      <c r="B78" s="68"/>
      <c r="C78" s="68"/>
      <c r="D78" s="68"/>
      <c r="E78" s="68"/>
      <c r="F78" s="68"/>
      <c r="G78" s="68"/>
      <c r="H78" s="101"/>
      <c r="I78" s="101"/>
      <c r="J78" s="101"/>
      <c r="K78" s="101"/>
      <c r="L78" s="101"/>
      <c r="M78" s="101"/>
      <c r="N78" s="101"/>
      <c r="O78" s="50"/>
      <c r="P78" s="50"/>
    </row>
    <row r="79" ht="15.75" customHeight="1">
      <c r="A79" s="115"/>
      <c r="B79" s="68"/>
      <c r="C79" s="68"/>
      <c r="D79" s="68"/>
      <c r="E79" s="68"/>
      <c r="F79" s="68"/>
      <c r="G79" s="68"/>
      <c r="H79" s="101"/>
      <c r="I79" s="101"/>
      <c r="J79" s="101"/>
      <c r="K79" s="101"/>
      <c r="L79" s="101"/>
      <c r="M79" s="101"/>
      <c r="N79" s="101"/>
      <c r="O79" s="50"/>
      <c r="P79" s="50"/>
    </row>
    <row r="80" ht="15.75" customHeight="1">
      <c r="A80" s="115"/>
      <c r="B80" s="68"/>
      <c r="C80" s="68"/>
      <c r="D80" s="68"/>
      <c r="E80" s="68"/>
      <c r="F80" s="68"/>
      <c r="G80" s="68"/>
      <c r="H80" s="101"/>
      <c r="I80" s="101"/>
      <c r="J80" s="101"/>
      <c r="K80" s="101"/>
      <c r="L80" s="101"/>
      <c r="M80" s="101"/>
      <c r="N80" s="101"/>
      <c r="O80" s="50"/>
      <c r="P80" s="50"/>
    </row>
    <row r="81" ht="15.75" customHeight="1">
      <c r="A81" s="115"/>
      <c r="B81" s="68"/>
      <c r="C81" s="68"/>
      <c r="D81" s="68"/>
      <c r="E81" s="68"/>
      <c r="F81" s="68"/>
      <c r="G81" s="68"/>
      <c r="H81" s="101"/>
      <c r="I81" s="101"/>
      <c r="J81" s="101"/>
      <c r="K81" s="101"/>
      <c r="L81" s="101"/>
      <c r="M81" s="101"/>
      <c r="N81" s="101"/>
      <c r="O81" s="50"/>
      <c r="P81" s="50"/>
    </row>
    <row r="82" ht="15.75" customHeight="1">
      <c r="A82" s="115"/>
      <c r="B82" s="68"/>
      <c r="C82" s="68"/>
      <c r="D82" s="68"/>
      <c r="E82" s="68"/>
      <c r="F82" s="68"/>
      <c r="G82" s="68"/>
      <c r="H82" s="101"/>
      <c r="I82" s="101"/>
      <c r="J82" s="101"/>
      <c r="K82" s="101"/>
      <c r="L82" s="101"/>
      <c r="M82" s="101"/>
      <c r="N82" s="101"/>
      <c r="O82" s="50"/>
      <c r="P82" s="50"/>
    </row>
    <row r="83" ht="15.75" customHeight="1">
      <c r="A83" s="115"/>
      <c r="B83" s="68"/>
      <c r="C83" s="68"/>
      <c r="D83" s="68"/>
      <c r="E83" s="68"/>
      <c r="F83" s="68"/>
      <c r="G83" s="68"/>
      <c r="H83" s="101"/>
      <c r="I83" s="101"/>
      <c r="J83" s="101"/>
      <c r="K83" s="101"/>
      <c r="L83" s="101"/>
      <c r="M83" s="101"/>
      <c r="N83" s="101"/>
      <c r="O83" s="50"/>
      <c r="P83" s="50"/>
    </row>
    <row r="84" ht="15.75" customHeight="1">
      <c r="A84" s="115"/>
      <c r="B84" s="68"/>
      <c r="C84" s="68"/>
      <c r="D84" s="68"/>
      <c r="E84" s="68"/>
      <c r="F84" s="68"/>
      <c r="G84" s="68"/>
      <c r="H84" s="101"/>
      <c r="I84" s="101"/>
      <c r="J84" s="101"/>
      <c r="K84" s="101"/>
      <c r="L84" s="101"/>
      <c r="M84" s="101"/>
      <c r="N84" s="101"/>
      <c r="O84" s="50"/>
      <c r="P84" s="50"/>
    </row>
    <row r="85" ht="15.75" customHeight="1">
      <c r="A85" s="115"/>
      <c r="B85" s="68"/>
      <c r="C85" s="68"/>
      <c r="D85" s="68"/>
      <c r="E85" s="68"/>
      <c r="F85" s="68"/>
      <c r="G85" s="68"/>
      <c r="H85" s="101"/>
      <c r="I85" s="101"/>
      <c r="J85" s="101"/>
      <c r="K85" s="101"/>
      <c r="L85" s="101"/>
      <c r="M85" s="101"/>
      <c r="N85" s="101"/>
      <c r="O85" s="50"/>
      <c r="P85" s="50"/>
    </row>
    <row r="86" ht="15.75" customHeight="1">
      <c r="A86" s="115"/>
      <c r="B86" s="68"/>
      <c r="C86" s="68"/>
      <c r="D86" s="68"/>
      <c r="E86" s="68"/>
      <c r="F86" s="68"/>
      <c r="G86" s="68"/>
      <c r="H86" s="101"/>
      <c r="I86" s="101"/>
      <c r="J86" s="101"/>
      <c r="K86" s="101"/>
      <c r="L86" s="101"/>
      <c r="M86" s="101"/>
      <c r="N86" s="101"/>
      <c r="O86" s="50"/>
      <c r="P86" s="50"/>
    </row>
    <row r="87" ht="15.75" customHeight="1">
      <c r="A87" s="115"/>
      <c r="B87" s="68"/>
      <c r="C87" s="68"/>
      <c r="D87" s="68"/>
      <c r="E87" s="68"/>
      <c r="F87" s="68"/>
      <c r="G87" s="68"/>
      <c r="H87" s="101"/>
      <c r="I87" s="101"/>
      <c r="J87" s="101"/>
      <c r="K87" s="101"/>
      <c r="L87" s="101"/>
      <c r="M87" s="101"/>
      <c r="N87" s="101"/>
      <c r="O87" s="50"/>
      <c r="P87" s="50"/>
    </row>
    <row r="88" ht="15.75" customHeight="1">
      <c r="A88" s="115"/>
      <c r="B88" s="68"/>
      <c r="C88" s="68"/>
      <c r="D88" s="68"/>
      <c r="E88" s="68"/>
      <c r="F88" s="68"/>
      <c r="G88" s="68"/>
      <c r="H88" s="101"/>
      <c r="I88" s="101"/>
      <c r="J88" s="101"/>
      <c r="K88" s="101"/>
      <c r="L88" s="101"/>
      <c r="M88" s="101"/>
      <c r="N88" s="101"/>
      <c r="O88" s="50"/>
      <c r="P88" s="50"/>
    </row>
    <row r="89" ht="15.75" customHeight="1">
      <c r="A89" s="115"/>
      <c r="B89" s="68"/>
      <c r="C89" s="68"/>
      <c r="D89" s="68"/>
      <c r="E89" s="68"/>
      <c r="F89" s="68"/>
      <c r="G89" s="68"/>
      <c r="H89" s="101"/>
      <c r="I89" s="101"/>
      <c r="J89" s="101"/>
      <c r="K89" s="101"/>
      <c r="L89" s="101"/>
      <c r="M89" s="101"/>
      <c r="N89" s="101"/>
      <c r="O89" s="50"/>
      <c r="P89" s="50"/>
    </row>
    <row r="90" ht="15.75" customHeight="1">
      <c r="A90" s="115"/>
      <c r="B90" s="68"/>
      <c r="C90" s="68"/>
      <c r="D90" s="68"/>
      <c r="E90" s="68"/>
      <c r="F90" s="68"/>
      <c r="G90" s="68"/>
      <c r="H90" s="101"/>
      <c r="I90" s="101"/>
      <c r="J90" s="101"/>
      <c r="K90" s="101"/>
      <c r="L90" s="101"/>
      <c r="M90" s="101"/>
      <c r="N90" s="101"/>
      <c r="O90" s="50"/>
      <c r="P90" s="50"/>
    </row>
    <row r="91" ht="15.75" customHeight="1">
      <c r="A91" s="115"/>
      <c r="B91" s="68"/>
      <c r="C91" s="68"/>
      <c r="D91" s="68"/>
      <c r="E91" s="68"/>
      <c r="F91" s="68"/>
      <c r="G91" s="68"/>
      <c r="H91" s="101"/>
      <c r="I91" s="101"/>
      <c r="J91" s="101"/>
      <c r="K91" s="101"/>
      <c r="L91" s="101"/>
      <c r="M91" s="101"/>
      <c r="N91" s="101"/>
      <c r="O91" s="50"/>
      <c r="P91" s="50"/>
    </row>
    <row r="92" ht="15.75" customHeight="1">
      <c r="A92" s="115"/>
      <c r="B92" s="68"/>
      <c r="C92" s="68"/>
      <c r="D92" s="68"/>
      <c r="E92" s="68"/>
      <c r="F92" s="68"/>
      <c r="G92" s="68"/>
      <c r="H92" s="101"/>
      <c r="I92" s="101"/>
      <c r="J92" s="101"/>
      <c r="K92" s="101"/>
      <c r="L92" s="101"/>
      <c r="M92" s="101"/>
      <c r="N92" s="101"/>
      <c r="O92" s="50"/>
      <c r="P92" s="50"/>
    </row>
    <row r="93" ht="15.75" customHeight="1">
      <c r="A93" s="115"/>
      <c r="B93" s="68"/>
      <c r="C93" s="68"/>
      <c r="D93" s="68"/>
      <c r="E93" s="68"/>
      <c r="F93" s="68"/>
      <c r="G93" s="68"/>
      <c r="H93" s="101"/>
      <c r="I93" s="101"/>
      <c r="J93" s="101"/>
      <c r="K93" s="101"/>
      <c r="L93" s="101"/>
      <c r="M93" s="101"/>
      <c r="N93" s="101"/>
      <c r="O93" s="50"/>
      <c r="P93" s="50"/>
    </row>
    <row r="94" ht="15.75" customHeight="1">
      <c r="A94" s="115"/>
      <c r="B94" s="68"/>
      <c r="C94" s="68"/>
      <c r="D94" s="68"/>
      <c r="E94" s="68"/>
      <c r="F94" s="68"/>
      <c r="G94" s="68"/>
      <c r="H94" s="101"/>
      <c r="I94" s="101"/>
      <c r="J94" s="101"/>
      <c r="K94" s="101"/>
      <c r="L94" s="101"/>
      <c r="M94" s="101"/>
      <c r="N94" s="101"/>
      <c r="O94" s="50"/>
      <c r="P94" s="50"/>
    </row>
    <row r="95" ht="15.75" customHeight="1">
      <c r="A95" s="115"/>
      <c r="B95" s="68"/>
      <c r="C95" s="68"/>
      <c r="D95" s="68"/>
      <c r="E95" s="68"/>
      <c r="F95" s="68"/>
      <c r="G95" s="68"/>
      <c r="H95" s="101"/>
      <c r="I95" s="101"/>
      <c r="J95" s="101"/>
      <c r="K95" s="101"/>
      <c r="L95" s="101"/>
      <c r="M95" s="101"/>
      <c r="N95" s="101"/>
      <c r="O95" s="50"/>
      <c r="P95" s="50"/>
    </row>
    <row r="96" ht="15.75" customHeight="1">
      <c r="A96" s="115"/>
      <c r="B96" s="68"/>
      <c r="C96" s="68"/>
      <c r="D96" s="68"/>
      <c r="E96" s="68"/>
      <c r="F96" s="68"/>
      <c r="G96" s="68"/>
      <c r="H96" s="101"/>
      <c r="I96" s="101"/>
      <c r="J96" s="101"/>
      <c r="K96" s="101"/>
      <c r="L96" s="101"/>
      <c r="M96" s="101"/>
      <c r="N96" s="101"/>
      <c r="O96" s="50"/>
      <c r="P96" s="50"/>
    </row>
    <row r="97" ht="15.75" customHeight="1">
      <c r="A97" s="115"/>
      <c r="B97" s="68"/>
      <c r="C97" s="68"/>
      <c r="D97" s="68"/>
      <c r="E97" s="68"/>
      <c r="F97" s="68"/>
      <c r="G97" s="68"/>
      <c r="H97" s="101"/>
      <c r="I97" s="101"/>
      <c r="J97" s="101"/>
      <c r="K97" s="101"/>
      <c r="L97" s="101"/>
      <c r="M97" s="101"/>
      <c r="N97" s="101"/>
      <c r="O97" s="50"/>
      <c r="P97" s="50"/>
    </row>
    <row r="98" ht="15.75" customHeight="1">
      <c r="A98" s="115"/>
      <c r="B98" s="68"/>
      <c r="C98" s="68"/>
      <c r="D98" s="68"/>
      <c r="E98" s="68"/>
      <c r="F98" s="68"/>
      <c r="G98" s="68"/>
      <c r="H98" s="101"/>
      <c r="I98" s="101"/>
      <c r="J98" s="101"/>
      <c r="K98" s="101"/>
      <c r="L98" s="101"/>
      <c r="M98" s="101"/>
      <c r="N98" s="101"/>
      <c r="O98" s="50"/>
      <c r="P98" s="50"/>
    </row>
    <row r="99" ht="15.75" customHeight="1">
      <c r="A99" s="115"/>
      <c r="B99" s="68"/>
      <c r="C99" s="68"/>
      <c r="D99" s="68"/>
      <c r="E99" s="68"/>
      <c r="F99" s="68"/>
      <c r="G99" s="68"/>
      <c r="H99" s="101"/>
      <c r="I99" s="101"/>
      <c r="J99" s="101"/>
      <c r="K99" s="101"/>
      <c r="L99" s="101"/>
      <c r="M99" s="101"/>
      <c r="N99" s="101"/>
      <c r="O99" s="50"/>
      <c r="P99" s="50"/>
    </row>
    <row r="100" ht="15.75" customHeight="1">
      <c r="A100" s="115"/>
      <c r="B100" s="68"/>
      <c r="C100" s="68"/>
      <c r="D100" s="68"/>
      <c r="E100" s="68"/>
      <c r="F100" s="68"/>
      <c r="G100" s="68"/>
      <c r="H100" s="101"/>
      <c r="I100" s="101"/>
      <c r="J100" s="101"/>
      <c r="K100" s="101"/>
      <c r="L100" s="101"/>
      <c r="M100" s="101"/>
      <c r="N100" s="101"/>
      <c r="O100" s="50"/>
      <c r="P100" s="50"/>
    </row>
    <row r="101" ht="15.75" customHeight="1">
      <c r="A101" s="115"/>
      <c r="B101" s="68"/>
      <c r="C101" s="68"/>
      <c r="D101" s="68"/>
      <c r="E101" s="68"/>
      <c r="F101" s="68"/>
      <c r="G101" s="68"/>
      <c r="H101" s="101"/>
      <c r="I101" s="101"/>
      <c r="J101" s="101"/>
      <c r="K101" s="101"/>
      <c r="L101" s="101"/>
      <c r="M101" s="101"/>
      <c r="N101" s="101"/>
      <c r="O101" s="50"/>
      <c r="P101" s="50"/>
    </row>
    <row r="102" ht="15.75" customHeight="1">
      <c r="A102" s="115"/>
      <c r="B102" s="68"/>
      <c r="C102" s="68"/>
      <c r="D102" s="68"/>
      <c r="E102" s="68"/>
      <c r="F102" s="68"/>
      <c r="G102" s="68"/>
      <c r="H102" s="101"/>
      <c r="I102" s="101"/>
      <c r="J102" s="101"/>
      <c r="K102" s="101"/>
      <c r="L102" s="101"/>
      <c r="M102" s="101"/>
      <c r="N102" s="101"/>
      <c r="O102" s="50"/>
      <c r="P102" s="50"/>
    </row>
    <row r="103" ht="15.75" customHeight="1">
      <c r="A103" s="115"/>
      <c r="B103" s="68"/>
      <c r="C103" s="68"/>
      <c r="D103" s="68"/>
      <c r="E103" s="68"/>
      <c r="F103" s="68"/>
      <c r="G103" s="68"/>
      <c r="H103" s="101"/>
      <c r="I103" s="101"/>
      <c r="J103" s="101"/>
      <c r="K103" s="101"/>
      <c r="L103" s="101"/>
      <c r="M103" s="101"/>
      <c r="N103" s="101"/>
      <c r="O103" s="50"/>
      <c r="P103" s="50"/>
    </row>
    <row r="104" ht="15.75" customHeight="1">
      <c r="A104" s="115"/>
      <c r="B104" s="68"/>
      <c r="C104" s="68"/>
      <c r="D104" s="68"/>
      <c r="E104" s="68"/>
      <c r="F104" s="68"/>
      <c r="G104" s="68"/>
      <c r="H104" s="101"/>
      <c r="I104" s="101"/>
      <c r="J104" s="101"/>
      <c r="K104" s="101"/>
      <c r="L104" s="101"/>
      <c r="M104" s="101"/>
      <c r="N104" s="101"/>
      <c r="O104" s="50"/>
      <c r="P104" s="50"/>
    </row>
    <row r="105" ht="15.75" customHeight="1">
      <c r="A105" s="115"/>
      <c r="B105" s="68"/>
      <c r="C105" s="68"/>
      <c r="D105" s="68"/>
      <c r="E105" s="68"/>
      <c r="F105" s="68"/>
      <c r="G105" s="68"/>
      <c r="H105" s="101"/>
      <c r="I105" s="101"/>
      <c r="J105" s="101"/>
      <c r="K105" s="101"/>
      <c r="L105" s="101"/>
      <c r="M105" s="101"/>
      <c r="N105" s="101"/>
      <c r="O105" s="50"/>
      <c r="P105" s="50"/>
    </row>
    <row r="106" ht="15.75" customHeight="1">
      <c r="A106" s="115"/>
      <c r="B106" s="68"/>
      <c r="C106" s="68"/>
      <c r="D106" s="68"/>
      <c r="E106" s="68"/>
      <c r="F106" s="68"/>
      <c r="G106" s="68"/>
      <c r="H106" s="101"/>
      <c r="I106" s="101"/>
      <c r="J106" s="101"/>
      <c r="K106" s="101"/>
      <c r="L106" s="101"/>
      <c r="M106" s="101"/>
      <c r="N106" s="101"/>
      <c r="O106" s="50"/>
      <c r="P106" s="50"/>
    </row>
    <row r="107" ht="15.75" customHeight="1">
      <c r="A107" s="115"/>
      <c r="B107" s="68"/>
      <c r="C107" s="68"/>
      <c r="D107" s="68"/>
      <c r="E107" s="68"/>
      <c r="F107" s="68"/>
      <c r="G107" s="68"/>
      <c r="H107" s="101"/>
      <c r="I107" s="101"/>
      <c r="J107" s="101"/>
      <c r="K107" s="101"/>
      <c r="L107" s="101"/>
      <c r="M107" s="101"/>
      <c r="N107" s="101"/>
      <c r="O107" s="50"/>
      <c r="P107" s="50"/>
    </row>
    <row r="108" ht="15.75" customHeight="1">
      <c r="A108" s="115"/>
      <c r="B108" s="68"/>
      <c r="C108" s="68"/>
      <c r="D108" s="68"/>
      <c r="E108" s="68"/>
      <c r="F108" s="68"/>
      <c r="G108" s="68"/>
      <c r="H108" s="101"/>
      <c r="I108" s="101"/>
      <c r="J108" s="101"/>
      <c r="K108" s="101"/>
      <c r="L108" s="101"/>
      <c r="M108" s="101"/>
      <c r="N108" s="101"/>
      <c r="O108" s="50"/>
      <c r="P108" s="50"/>
    </row>
    <row r="109" ht="15.75" customHeight="1">
      <c r="A109" s="115"/>
      <c r="B109" s="68"/>
      <c r="C109" s="68"/>
      <c r="D109" s="68"/>
      <c r="E109" s="68"/>
      <c r="F109" s="68"/>
      <c r="G109" s="68"/>
      <c r="H109" s="101"/>
      <c r="I109" s="101"/>
      <c r="J109" s="101"/>
      <c r="K109" s="101"/>
      <c r="L109" s="101"/>
      <c r="M109" s="101"/>
      <c r="N109" s="101"/>
      <c r="O109" s="50"/>
      <c r="P109" s="50"/>
    </row>
    <row r="110" ht="15.75" customHeight="1">
      <c r="A110" s="115"/>
      <c r="B110" s="68"/>
      <c r="C110" s="68"/>
      <c r="D110" s="68"/>
      <c r="E110" s="68"/>
      <c r="F110" s="68"/>
      <c r="G110" s="68"/>
      <c r="H110" s="101"/>
      <c r="I110" s="101"/>
      <c r="J110" s="101"/>
      <c r="K110" s="101"/>
      <c r="L110" s="101"/>
      <c r="M110" s="101"/>
      <c r="N110" s="101"/>
      <c r="O110" s="50"/>
      <c r="P110" s="50"/>
    </row>
    <row r="111" ht="15.75" customHeight="1">
      <c r="A111" s="115"/>
      <c r="B111" s="68"/>
      <c r="C111" s="68"/>
      <c r="D111" s="68"/>
      <c r="E111" s="68"/>
      <c r="F111" s="68"/>
      <c r="G111" s="68"/>
      <c r="H111" s="101"/>
      <c r="I111" s="101"/>
      <c r="J111" s="101"/>
      <c r="K111" s="101"/>
      <c r="L111" s="101"/>
      <c r="M111" s="101"/>
      <c r="N111" s="101"/>
      <c r="O111" s="50"/>
      <c r="P111" s="50"/>
    </row>
    <row r="112" ht="15.75" customHeight="1">
      <c r="A112" s="115"/>
      <c r="B112" s="68"/>
      <c r="C112" s="68"/>
      <c r="D112" s="68"/>
      <c r="E112" s="68"/>
      <c r="F112" s="68"/>
      <c r="G112" s="68"/>
      <c r="H112" s="101"/>
      <c r="I112" s="101"/>
      <c r="J112" s="101"/>
      <c r="K112" s="101"/>
      <c r="L112" s="101"/>
      <c r="M112" s="101"/>
      <c r="N112" s="101"/>
      <c r="O112" s="50"/>
      <c r="P112" s="50"/>
    </row>
    <row r="113" ht="15.75" customHeight="1">
      <c r="A113" s="115"/>
      <c r="B113" s="68"/>
      <c r="C113" s="68"/>
      <c r="D113" s="68"/>
      <c r="E113" s="68"/>
      <c r="F113" s="68"/>
      <c r="G113" s="68"/>
      <c r="H113" s="101"/>
      <c r="I113" s="101"/>
      <c r="J113" s="101"/>
      <c r="K113" s="101"/>
      <c r="L113" s="101"/>
      <c r="M113" s="101"/>
      <c r="N113" s="101"/>
      <c r="O113" s="50"/>
      <c r="P113" s="50"/>
    </row>
    <row r="114" ht="15.75" customHeight="1">
      <c r="A114" s="115"/>
      <c r="B114" s="68"/>
      <c r="C114" s="68"/>
      <c r="D114" s="68"/>
      <c r="E114" s="68"/>
      <c r="F114" s="68"/>
      <c r="G114" s="68"/>
      <c r="H114" s="101"/>
      <c r="I114" s="101"/>
      <c r="J114" s="101"/>
      <c r="K114" s="101"/>
      <c r="L114" s="101"/>
      <c r="M114" s="101"/>
      <c r="N114" s="101"/>
      <c r="O114" s="50"/>
      <c r="P114" s="50"/>
    </row>
    <row r="115" ht="15.75" customHeight="1">
      <c r="A115" s="115"/>
      <c r="B115" s="68"/>
      <c r="C115" s="68"/>
      <c r="D115" s="68"/>
      <c r="E115" s="68"/>
      <c r="F115" s="68"/>
      <c r="G115" s="68"/>
      <c r="H115" s="101"/>
      <c r="I115" s="101"/>
      <c r="J115" s="101"/>
      <c r="K115" s="101"/>
      <c r="L115" s="101"/>
      <c r="M115" s="101"/>
      <c r="N115" s="101"/>
      <c r="O115" s="50"/>
      <c r="P115" s="50"/>
    </row>
    <row r="116" ht="15.75" customHeight="1">
      <c r="A116" s="115"/>
      <c r="B116" s="68"/>
      <c r="C116" s="68"/>
      <c r="D116" s="68"/>
      <c r="E116" s="68"/>
      <c r="F116" s="68"/>
      <c r="G116" s="68"/>
      <c r="H116" s="101"/>
      <c r="I116" s="101"/>
      <c r="J116" s="101"/>
      <c r="K116" s="101"/>
      <c r="L116" s="101"/>
      <c r="M116" s="101"/>
      <c r="N116" s="101"/>
      <c r="O116" s="50"/>
      <c r="P116" s="50"/>
    </row>
    <row r="117" ht="15.75" customHeight="1">
      <c r="A117" s="115"/>
      <c r="B117" s="68"/>
      <c r="C117" s="68"/>
      <c r="D117" s="68"/>
      <c r="E117" s="68"/>
      <c r="F117" s="68"/>
      <c r="G117" s="68"/>
      <c r="H117" s="101"/>
      <c r="I117" s="101"/>
      <c r="J117" s="101"/>
      <c r="K117" s="101"/>
      <c r="L117" s="101"/>
      <c r="M117" s="101"/>
      <c r="N117" s="101"/>
      <c r="O117" s="50"/>
      <c r="P117" s="50"/>
    </row>
    <row r="118" ht="15.75" customHeight="1">
      <c r="A118" s="115"/>
      <c r="B118" s="68"/>
      <c r="C118" s="68"/>
      <c r="D118" s="68"/>
      <c r="E118" s="68"/>
      <c r="F118" s="68"/>
      <c r="G118" s="68"/>
      <c r="H118" s="101"/>
      <c r="I118" s="101"/>
      <c r="J118" s="101"/>
      <c r="K118" s="101"/>
      <c r="L118" s="101"/>
      <c r="M118" s="101"/>
      <c r="N118" s="101"/>
      <c r="O118" s="50"/>
      <c r="P118" s="50"/>
    </row>
    <row r="119" ht="15.75" customHeight="1">
      <c r="A119" s="115"/>
      <c r="B119" s="68"/>
      <c r="C119" s="68"/>
      <c r="D119" s="68"/>
      <c r="E119" s="68"/>
      <c r="F119" s="68"/>
      <c r="G119" s="68"/>
      <c r="H119" s="101"/>
      <c r="I119" s="101"/>
      <c r="J119" s="101"/>
      <c r="K119" s="101"/>
      <c r="L119" s="101"/>
      <c r="M119" s="101"/>
      <c r="N119" s="101"/>
      <c r="O119" s="50"/>
      <c r="P119" s="50"/>
    </row>
    <row r="120" ht="15.75" customHeight="1">
      <c r="A120" s="115"/>
      <c r="B120" s="68"/>
      <c r="C120" s="68"/>
      <c r="D120" s="68"/>
      <c r="E120" s="68"/>
      <c r="F120" s="68"/>
      <c r="G120" s="68"/>
      <c r="H120" s="101"/>
      <c r="I120" s="101"/>
      <c r="J120" s="101"/>
      <c r="K120" s="101"/>
      <c r="L120" s="101"/>
      <c r="M120" s="101"/>
      <c r="N120" s="101"/>
      <c r="O120" s="50"/>
      <c r="P120" s="50"/>
    </row>
    <row r="121" ht="15.75" customHeight="1">
      <c r="A121" s="115"/>
      <c r="B121" s="68"/>
      <c r="C121" s="68"/>
      <c r="D121" s="68"/>
      <c r="E121" s="68"/>
      <c r="F121" s="68"/>
      <c r="G121" s="68"/>
      <c r="H121" s="101"/>
      <c r="I121" s="101"/>
      <c r="J121" s="101"/>
      <c r="K121" s="101"/>
      <c r="L121" s="101"/>
      <c r="M121" s="101"/>
      <c r="N121" s="101"/>
      <c r="O121" s="50"/>
      <c r="P121" s="50"/>
    </row>
    <row r="122" ht="15.75" customHeight="1">
      <c r="A122" s="115"/>
      <c r="B122" s="68"/>
      <c r="C122" s="68"/>
      <c r="D122" s="68"/>
      <c r="E122" s="68"/>
      <c r="F122" s="68"/>
      <c r="G122" s="68"/>
      <c r="H122" s="101"/>
      <c r="I122" s="101"/>
      <c r="J122" s="101"/>
      <c r="K122" s="101"/>
      <c r="L122" s="101"/>
      <c r="M122" s="101"/>
      <c r="N122" s="101"/>
      <c r="O122" s="50"/>
      <c r="P122" s="50"/>
    </row>
    <row r="123" ht="15.75" customHeight="1">
      <c r="A123" s="115"/>
      <c r="B123" s="68"/>
      <c r="C123" s="68"/>
      <c r="D123" s="68"/>
      <c r="E123" s="68"/>
      <c r="F123" s="68"/>
      <c r="G123" s="68"/>
      <c r="H123" s="101"/>
      <c r="I123" s="101"/>
      <c r="J123" s="101"/>
      <c r="K123" s="101"/>
      <c r="L123" s="101"/>
      <c r="M123" s="101"/>
      <c r="N123" s="101"/>
      <c r="O123" s="50"/>
      <c r="P123" s="50"/>
    </row>
    <row r="124" ht="15.75" customHeight="1">
      <c r="A124" s="115"/>
      <c r="B124" s="68"/>
      <c r="C124" s="68"/>
      <c r="D124" s="68"/>
      <c r="E124" s="68"/>
      <c r="F124" s="68"/>
      <c r="G124" s="68"/>
      <c r="H124" s="101"/>
      <c r="I124" s="101"/>
      <c r="J124" s="101"/>
      <c r="K124" s="101"/>
      <c r="L124" s="101"/>
      <c r="M124" s="101"/>
      <c r="N124" s="101"/>
      <c r="O124" s="50"/>
      <c r="P124" s="50"/>
    </row>
    <row r="125" ht="15.75" customHeight="1">
      <c r="A125" s="115"/>
      <c r="B125" s="68"/>
      <c r="C125" s="68"/>
      <c r="D125" s="68"/>
      <c r="E125" s="68"/>
      <c r="F125" s="68"/>
      <c r="G125" s="68"/>
      <c r="H125" s="101"/>
      <c r="I125" s="101"/>
      <c r="J125" s="101"/>
      <c r="K125" s="101"/>
      <c r="L125" s="101"/>
      <c r="M125" s="101"/>
      <c r="N125" s="101"/>
      <c r="O125" s="50"/>
      <c r="P125" s="50"/>
    </row>
    <row r="126" ht="15.75" customHeight="1">
      <c r="A126" s="115"/>
      <c r="B126" s="68"/>
      <c r="C126" s="68"/>
      <c r="D126" s="68"/>
      <c r="E126" s="68"/>
      <c r="F126" s="68"/>
      <c r="G126" s="68"/>
      <c r="H126" s="101"/>
      <c r="I126" s="101"/>
      <c r="J126" s="101"/>
      <c r="K126" s="101"/>
      <c r="L126" s="101"/>
      <c r="M126" s="101"/>
      <c r="N126" s="101"/>
      <c r="O126" s="50"/>
      <c r="P126" s="50"/>
    </row>
    <row r="127" ht="15.75" customHeight="1">
      <c r="A127" s="115"/>
      <c r="B127" s="68"/>
      <c r="C127" s="68"/>
      <c r="D127" s="68"/>
      <c r="E127" s="68"/>
      <c r="F127" s="68"/>
      <c r="G127" s="68"/>
      <c r="H127" s="101"/>
      <c r="I127" s="101"/>
      <c r="J127" s="101"/>
      <c r="K127" s="101"/>
      <c r="L127" s="101"/>
      <c r="M127" s="101"/>
      <c r="N127" s="101"/>
      <c r="O127" s="50"/>
      <c r="P127" s="50"/>
    </row>
    <row r="128" ht="15.75" customHeight="1">
      <c r="A128" s="115"/>
      <c r="B128" s="68"/>
      <c r="C128" s="68"/>
      <c r="D128" s="68"/>
      <c r="E128" s="68"/>
      <c r="F128" s="68"/>
      <c r="G128" s="68"/>
      <c r="H128" s="101"/>
      <c r="I128" s="101"/>
      <c r="J128" s="101"/>
      <c r="K128" s="101"/>
      <c r="L128" s="101"/>
      <c r="M128" s="101"/>
      <c r="N128" s="101"/>
      <c r="O128" s="50"/>
      <c r="P128" s="50"/>
    </row>
    <row r="129" ht="15.75" customHeight="1">
      <c r="A129" s="115"/>
      <c r="B129" s="68"/>
      <c r="C129" s="68"/>
      <c r="D129" s="68"/>
      <c r="E129" s="68"/>
      <c r="F129" s="68"/>
      <c r="G129" s="68"/>
      <c r="H129" s="101"/>
      <c r="I129" s="101"/>
      <c r="J129" s="101"/>
      <c r="K129" s="101"/>
      <c r="L129" s="101"/>
      <c r="M129" s="101"/>
      <c r="N129" s="101"/>
      <c r="O129" s="50"/>
      <c r="P129" s="50"/>
    </row>
    <row r="130" ht="15.75" customHeight="1">
      <c r="A130" s="115"/>
      <c r="B130" s="68"/>
      <c r="C130" s="68"/>
      <c r="D130" s="68"/>
      <c r="E130" s="68"/>
      <c r="F130" s="68"/>
      <c r="G130" s="68"/>
      <c r="H130" s="101"/>
      <c r="I130" s="101"/>
      <c r="J130" s="101"/>
      <c r="K130" s="101"/>
      <c r="L130" s="101"/>
      <c r="M130" s="101"/>
      <c r="N130" s="101"/>
      <c r="O130" s="50"/>
      <c r="P130" s="50"/>
    </row>
    <row r="131" ht="15.75" customHeight="1">
      <c r="A131" s="115"/>
      <c r="B131" s="68"/>
      <c r="C131" s="68"/>
      <c r="D131" s="68"/>
      <c r="E131" s="68"/>
      <c r="F131" s="68"/>
      <c r="G131" s="68"/>
      <c r="H131" s="101"/>
      <c r="I131" s="101"/>
      <c r="J131" s="101"/>
      <c r="K131" s="101"/>
      <c r="L131" s="101"/>
      <c r="M131" s="101"/>
      <c r="N131" s="101"/>
      <c r="O131" s="50"/>
      <c r="P131" s="50"/>
    </row>
    <row r="132" ht="15.75" customHeight="1">
      <c r="A132" s="115"/>
      <c r="B132" s="68"/>
      <c r="C132" s="68"/>
      <c r="D132" s="68"/>
      <c r="E132" s="68"/>
      <c r="F132" s="68"/>
      <c r="G132" s="68"/>
      <c r="H132" s="101"/>
      <c r="I132" s="101"/>
      <c r="J132" s="101"/>
      <c r="K132" s="101"/>
      <c r="L132" s="101"/>
      <c r="M132" s="101"/>
      <c r="N132" s="101"/>
      <c r="O132" s="50"/>
      <c r="P132" s="50"/>
    </row>
    <row r="133" ht="15.75" customHeight="1">
      <c r="A133" s="115"/>
      <c r="B133" s="68"/>
      <c r="C133" s="68"/>
      <c r="D133" s="68"/>
      <c r="E133" s="68"/>
      <c r="F133" s="68"/>
      <c r="G133" s="68"/>
      <c r="H133" s="101"/>
      <c r="I133" s="101"/>
      <c r="J133" s="101"/>
      <c r="K133" s="101"/>
      <c r="L133" s="101"/>
      <c r="M133" s="101"/>
      <c r="N133" s="101"/>
      <c r="O133" s="50"/>
      <c r="P133" s="50"/>
    </row>
    <row r="134" ht="15.75" customHeight="1">
      <c r="A134" s="115"/>
      <c r="B134" s="68"/>
      <c r="C134" s="68"/>
      <c r="D134" s="68"/>
      <c r="E134" s="68"/>
      <c r="F134" s="68"/>
      <c r="G134" s="68"/>
      <c r="H134" s="101"/>
      <c r="I134" s="101"/>
      <c r="J134" s="101"/>
      <c r="K134" s="101"/>
      <c r="L134" s="101"/>
      <c r="M134" s="101"/>
      <c r="N134" s="101"/>
      <c r="O134" s="50"/>
      <c r="P134" s="50"/>
    </row>
    <row r="135" ht="15.75" customHeight="1">
      <c r="A135" s="115"/>
      <c r="B135" s="68"/>
      <c r="C135" s="68"/>
      <c r="D135" s="68"/>
      <c r="E135" s="68"/>
      <c r="F135" s="68"/>
      <c r="G135" s="68"/>
      <c r="H135" s="101"/>
      <c r="I135" s="101"/>
      <c r="J135" s="101"/>
      <c r="K135" s="101"/>
      <c r="L135" s="101"/>
      <c r="M135" s="101"/>
      <c r="N135" s="101"/>
      <c r="O135" s="50"/>
      <c r="P135" s="50"/>
    </row>
    <row r="136" ht="15.75" customHeight="1">
      <c r="A136" s="115"/>
      <c r="B136" s="68"/>
      <c r="C136" s="68"/>
      <c r="D136" s="68"/>
      <c r="E136" s="68"/>
      <c r="F136" s="68"/>
      <c r="G136" s="68"/>
      <c r="H136" s="101"/>
      <c r="I136" s="101"/>
      <c r="J136" s="101"/>
      <c r="K136" s="101"/>
      <c r="L136" s="101"/>
      <c r="M136" s="101"/>
      <c r="N136" s="101"/>
      <c r="O136" s="50"/>
      <c r="P136" s="50"/>
    </row>
    <row r="137" ht="15.75" customHeight="1">
      <c r="A137" s="115"/>
      <c r="B137" s="68"/>
      <c r="C137" s="68"/>
      <c r="D137" s="68"/>
      <c r="E137" s="68"/>
      <c r="F137" s="68"/>
      <c r="G137" s="68"/>
      <c r="H137" s="101"/>
      <c r="I137" s="101"/>
      <c r="J137" s="101"/>
      <c r="K137" s="101"/>
      <c r="L137" s="101"/>
      <c r="M137" s="101"/>
      <c r="N137" s="101"/>
      <c r="O137" s="50"/>
      <c r="P137" s="50"/>
    </row>
    <row r="138" ht="15.75" customHeight="1">
      <c r="A138" s="115"/>
      <c r="B138" s="68"/>
      <c r="C138" s="68"/>
      <c r="D138" s="68"/>
      <c r="E138" s="68"/>
      <c r="F138" s="68"/>
      <c r="G138" s="68"/>
      <c r="H138" s="101"/>
      <c r="I138" s="101"/>
      <c r="J138" s="101"/>
      <c r="K138" s="101"/>
      <c r="L138" s="101"/>
      <c r="M138" s="101"/>
      <c r="N138" s="101"/>
      <c r="O138" s="50"/>
      <c r="P138" s="50"/>
    </row>
    <row r="139" ht="15.75" customHeight="1">
      <c r="A139" s="115"/>
      <c r="B139" s="68"/>
      <c r="C139" s="68"/>
      <c r="D139" s="68"/>
      <c r="E139" s="68"/>
      <c r="F139" s="68"/>
      <c r="G139" s="68"/>
      <c r="H139" s="101"/>
      <c r="I139" s="101"/>
      <c r="J139" s="101"/>
      <c r="K139" s="101"/>
      <c r="L139" s="101"/>
      <c r="M139" s="101"/>
      <c r="N139" s="101"/>
      <c r="O139" s="50"/>
      <c r="P139" s="50"/>
    </row>
    <row r="140" ht="15.75" customHeight="1">
      <c r="A140" s="115"/>
      <c r="B140" s="68"/>
      <c r="C140" s="68"/>
      <c r="D140" s="68"/>
      <c r="E140" s="68"/>
      <c r="F140" s="68"/>
      <c r="G140" s="68"/>
      <c r="H140" s="101"/>
      <c r="I140" s="101"/>
      <c r="J140" s="101"/>
      <c r="K140" s="101"/>
      <c r="L140" s="101"/>
      <c r="M140" s="101"/>
      <c r="N140" s="101"/>
      <c r="O140" s="50"/>
      <c r="P140" s="50"/>
    </row>
    <row r="141" ht="15.75" customHeight="1">
      <c r="A141" s="115"/>
      <c r="B141" s="68"/>
      <c r="C141" s="68"/>
      <c r="D141" s="68"/>
      <c r="E141" s="68"/>
      <c r="F141" s="68"/>
      <c r="G141" s="68"/>
      <c r="H141" s="101"/>
      <c r="I141" s="101"/>
      <c r="J141" s="101"/>
      <c r="K141" s="101"/>
      <c r="L141" s="101"/>
      <c r="M141" s="101"/>
      <c r="N141" s="101"/>
      <c r="O141" s="50"/>
      <c r="P141" s="50"/>
    </row>
    <row r="142" ht="15.75" customHeight="1">
      <c r="A142" s="115"/>
      <c r="B142" s="68"/>
      <c r="C142" s="68"/>
      <c r="D142" s="68"/>
      <c r="E142" s="68"/>
      <c r="F142" s="68"/>
      <c r="G142" s="68"/>
      <c r="H142" s="101"/>
      <c r="I142" s="101"/>
      <c r="J142" s="101"/>
      <c r="K142" s="101"/>
      <c r="L142" s="101"/>
      <c r="M142" s="101"/>
      <c r="N142" s="101"/>
      <c r="O142" s="50"/>
      <c r="P142" s="50"/>
    </row>
    <row r="143" ht="15.75" customHeight="1">
      <c r="A143" s="115"/>
      <c r="B143" s="68"/>
      <c r="C143" s="68"/>
      <c r="D143" s="68"/>
      <c r="E143" s="68"/>
      <c r="F143" s="68"/>
      <c r="G143" s="68"/>
      <c r="H143" s="101"/>
      <c r="I143" s="101"/>
      <c r="J143" s="101"/>
      <c r="K143" s="101"/>
      <c r="L143" s="101"/>
      <c r="M143" s="101"/>
      <c r="N143" s="101"/>
      <c r="O143" s="50"/>
      <c r="P143" s="50"/>
    </row>
    <row r="144" ht="15.75" customHeight="1">
      <c r="A144" s="115"/>
      <c r="B144" s="68"/>
      <c r="C144" s="68"/>
      <c r="D144" s="68"/>
      <c r="E144" s="68"/>
      <c r="F144" s="68"/>
      <c r="G144" s="68"/>
      <c r="H144" s="101"/>
      <c r="I144" s="101"/>
      <c r="J144" s="101"/>
      <c r="K144" s="101"/>
      <c r="L144" s="101"/>
      <c r="M144" s="101"/>
      <c r="N144" s="101"/>
      <c r="O144" s="50"/>
      <c r="P144" s="50"/>
    </row>
    <row r="145" ht="15.75" customHeight="1">
      <c r="A145" s="115"/>
      <c r="B145" s="68"/>
      <c r="C145" s="68"/>
      <c r="D145" s="68"/>
      <c r="E145" s="68"/>
      <c r="F145" s="68"/>
      <c r="G145" s="68"/>
      <c r="H145" s="101"/>
      <c r="I145" s="101"/>
      <c r="J145" s="101"/>
      <c r="K145" s="101"/>
      <c r="L145" s="101"/>
      <c r="M145" s="101"/>
      <c r="N145" s="101"/>
      <c r="O145" s="50"/>
      <c r="P145" s="50"/>
    </row>
    <row r="146" ht="15.75" customHeight="1">
      <c r="A146" s="115"/>
      <c r="B146" s="68"/>
      <c r="C146" s="68"/>
      <c r="D146" s="68"/>
      <c r="E146" s="68"/>
      <c r="F146" s="68"/>
      <c r="G146" s="68"/>
      <c r="H146" s="101"/>
      <c r="I146" s="101"/>
      <c r="J146" s="101"/>
      <c r="K146" s="101"/>
      <c r="L146" s="101"/>
      <c r="M146" s="101"/>
      <c r="N146" s="101"/>
      <c r="O146" s="50"/>
      <c r="P146" s="50"/>
    </row>
    <row r="147" ht="15.75" customHeight="1">
      <c r="A147" s="115"/>
      <c r="B147" s="68"/>
      <c r="C147" s="68"/>
      <c r="D147" s="68"/>
      <c r="E147" s="68"/>
      <c r="F147" s="68"/>
      <c r="G147" s="68"/>
      <c r="H147" s="101"/>
      <c r="I147" s="101"/>
      <c r="J147" s="101"/>
      <c r="K147" s="101"/>
      <c r="L147" s="101"/>
      <c r="M147" s="101"/>
      <c r="N147" s="101"/>
      <c r="O147" s="50"/>
      <c r="P147" s="50"/>
    </row>
    <row r="148" ht="15.75" customHeight="1">
      <c r="A148" s="115"/>
      <c r="B148" s="68"/>
      <c r="C148" s="68"/>
      <c r="D148" s="68"/>
      <c r="E148" s="68"/>
      <c r="F148" s="68"/>
      <c r="G148" s="68"/>
      <c r="H148" s="101"/>
      <c r="I148" s="101"/>
      <c r="J148" s="101"/>
      <c r="K148" s="101"/>
      <c r="L148" s="101"/>
      <c r="M148" s="101"/>
      <c r="N148" s="101"/>
      <c r="O148" s="50"/>
      <c r="P148" s="50"/>
    </row>
    <row r="149" ht="15.75" customHeight="1">
      <c r="A149" s="115"/>
      <c r="B149" s="68"/>
      <c r="C149" s="68"/>
      <c r="D149" s="68"/>
      <c r="E149" s="68"/>
      <c r="F149" s="68"/>
      <c r="G149" s="68"/>
      <c r="H149" s="101"/>
      <c r="I149" s="101"/>
      <c r="J149" s="101"/>
      <c r="K149" s="101"/>
      <c r="L149" s="101"/>
      <c r="M149" s="101"/>
      <c r="N149" s="101"/>
      <c r="O149" s="50"/>
      <c r="P149" s="50"/>
    </row>
    <row r="150" ht="15.75" customHeight="1">
      <c r="A150" s="115"/>
      <c r="B150" s="68"/>
      <c r="C150" s="68"/>
      <c r="D150" s="68"/>
      <c r="E150" s="68"/>
      <c r="F150" s="68"/>
      <c r="G150" s="68"/>
      <c r="H150" s="101"/>
      <c r="I150" s="101"/>
      <c r="J150" s="101"/>
      <c r="K150" s="101"/>
      <c r="L150" s="101"/>
      <c r="M150" s="101"/>
      <c r="N150" s="101"/>
      <c r="O150" s="50"/>
      <c r="P150" s="50"/>
    </row>
    <row r="151" ht="15.75" customHeight="1">
      <c r="A151" s="115"/>
      <c r="B151" s="68"/>
      <c r="C151" s="68"/>
      <c r="D151" s="68"/>
      <c r="E151" s="68"/>
      <c r="F151" s="68"/>
      <c r="G151" s="68"/>
      <c r="H151" s="101"/>
      <c r="I151" s="101"/>
      <c r="J151" s="101"/>
      <c r="K151" s="101"/>
      <c r="L151" s="101"/>
      <c r="M151" s="101"/>
      <c r="N151" s="101"/>
      <c r="O151" s="50"/>
      <c r="P151" s="50"/>
    </row>
    <row r="152" ht="15.75" customHeight="1">
      <c r="A152" s="115"/>
      <c r="B152" s="68"/>
      <c r="C152" s="68"/>
      <c r="D152" s="68"/>
      <c r="E152" s="68"/>
      <c r="F152" s="68"/>
      <c r="G152" s="68"/>
      <c r="H152" s="101"/>
      <c r="I152" s="101"/>
      <c r="J152" s="101"/>
      <c r="K152" s="101"/>
      <c r="L152" s="101"/>
      <c r="M152" s="101"/>
      <c r="N152" s="101"/>
      <c r="O152" s="50"/>
      <c r="P152" s="50"/>
    </row>
    <row r="153" ht="15.75" customHeight="1">
      <c r="A153" s="115"/>
      <c r="B153" s="68"/>
      <c r="C153" s="68"/>
      <c r="D153" s="68"/>
      <c r="E153" s="68"/>
      <c r="F153" s="68"/>
      <c r="G153" s="68"/>
      <c r="H153" s="101"/>
      <c r="I153" s="101"/>
      <c r="J153" s="101"/>
      <c r="K153" s="101"/>
      <c r="L153" s="101"/>
      <c r="M153" s="101"/>
      <c r="N153" s="101"/>
      <c r="O153" s="50"/>
      <c r="P153" s="50"/>
    </row>
    <row r="154" ht="15.75" customHeight="1">
      <c r="A154" s="115"/>
      <c r="B154" s="68"/>
      <c r="C154" s="68"/>
      <c r="D154" s="68"/>
      <c r="E154" s="68"/>
      <c r="F154" s="68"/>
      <c r="G154" s="68"/>
      <c r="H154" s="101"/>
      <c r="I154" s="101"/>
      <c r="J154" s="101"/>
      <c r="K154" s="101"/>
      <c r="L154" s="101"/>
      <c r="M154" s="101"/>
      <c r="N154" s="101"/>
      <c r="O154" s="50"/>
      <c r="P154" s="50"/>
    </row>
    <row r="155" ht="15.75" customHeight="1">
      <c r="A155" s="115"/>
      <c r="B155" s="68"/>
      <c r="C155" s="68"/>
      <c r="D155" s="68"/>
      <c r="E155" s="68"/>
      <c r="F155" s="68"/>
      <c r="G155" s="68"/>
      <c r="H155" s="101"/>
      <c r="I155" s="101"/>
      <c r="J155" s="101"/>
      <c r="K155" s="101"/>
      <c r="L155" s="101"/>
      <c r="M155" s="101"/>
      <c r="N155" s="101"/>
      <c r="O155" s="50"/>
      <c r="P155" s="50"/>
    </row>
    <row r="156" ht="15.75" customHeight="1">
      <c r="A156" s="115"/>
      <c r="B156" s="68"/>
      <c r="C156" s="68"/>
      <c r="D156" s="68"/>
      <c r="E156" s="68"/>
      <c r="F156" s="68"/>
      <c r="G156" s="68"/>
      <c r="H156" s="101"/>
      <c r="I156" s="101"/>
      <c r="J156" s="101"/>
      <c r="K156" s="101"/>
      <c r="L156" s="101"/>
      <c r="M156" s="101"/>
      <c r="N156" s="101"/>
      <c r="O156" s="50"/>
      <c r="P156" s="50"/>
    </row>
    <row r="157" ht="15.75" customHeight="1">
      <c r="A157" s="115"/>
      <c r="B157" s="68"/>
      <c r="C157" s="68"/>
      <c r="D157" s="68"/>
      <c r="E157" s="68"/>
      <c r="F157" s="68"/>
      <c r="G157" s="68"/>
      <c r="H157" s="101"/>
      <c r="I157" s="101"/>
      <c r="J157" s="101"/>
      <c r="K157" s="101"/>
      <c r="L157" s="101"/>
      <c r="M157" s="101"/>
      <c r="N157" s="101"/>
      <c r="O157" s="50"/>
      <c r="P157" s="50"/>
    </row>
    <row r="158" ht="15.75" customHeight="1">
      <c r="A158" s="115"/>
      <c r="B158" s="68"/>
      <c r="C158" s="68"/>
      <c r="D158" s="68"/>
      <c r="E158" s="68"/>
      <c r="F158" s="68"/>
      <c r="G158" s="68"/>
      <c r="H158" s="101"/>
      <c r="I158" s="101"/>
      <c r="J158" s="101"/>
      <c r="K158" s="101"/>
      <c r="L158" s="101"/>
      <c r="M158" s="101"/>
      <c r="N158" s="101"/>
      <c r="O158" s="50"/>
      <c r="P158" s="50"/>
    </row>
    <row r="159" ht="15.75" customHeight="1">
      <c r="A159" s="115"/>
      <c r="B159" s="68"/>
      <c r="C159" s="68"/>
      <c r="D159" s="68"/>
      <c r="E159" s="68"/>
      <c r="F159" s="68"/>
      <c r="G159" s="68"/>
      <c r="H159" s="101"/>
      <c r="I159" s="101"/>
      <c r="J159" s="101"/>
      <c r="K159" s="101"/>
      <c r="L159" s="101"/>
      <c r="M159" s="101"/>
      <c r="N159" s="101"/>
      <c r="O159" s="50"/>
      <c r="P159" s="50"/>
    </row>
    <row r="160" ht="15.75" customHeight="1">
      <c r="A160" s="115"/>
      <c r="B160" s="68"/>
      <c r="C160" s="68"/>
      <c r="D160" s="68"/>
      <c r="E160" s="68"/>
      <c r="F160" s="68"/>
      <c r="G160" s="68"/>
      <c r="H160" s="101"/>
      <c r="I160" s="101"/>
      <c r="J160" s="101"/>
      <c r="K160" s="101"/>
      <c r="L160" s="101"/>
      <c r="M160" s="101"/>
      <c r="N160" s="101"/>
      <c r="O160" s="50"/>
      <c r="P160" s="50"/>
    </row>
    <row r="161" ht="15.75" customHeight="1">
      <c r="A161" s="115"/>
      <c r="B161" s="68"/>
      <c r="C161" s="68"/>
      <c r="D161" s="68"/>
      <c r="E161" s="68"/>
      <c r="F161" s="68"/>
      <c r="G161" s="68"/>
      <c r="H161" s="101"/>
      <c r="I161" s="101"/>
      <c r="J161" s="101"/>
      <c r="K161" s="101"/>
      <c r="L161" s="101"/>
      <c r="M161" s="101"/>
      <c r="N161" s="101"/>
      <c r="O161" s="50"/>
      <c r="P161" s="50"/>
    </row>
    <row r="162" ht="15.75" customHeight="1">
      <c r="A162" s="115"/>
      <c r="B162" s="68"/>
      <c r="C162" s="68"/>
      <c r="D162" s="68"/>
      <c r="E162" s="68"/>
      <c r="F162" s="68"/>
      <c r="G162" s="68"/>
      <c r="H162" s="101"/>
      <c r="I162" s="101"/>
      <c r="J162" s="101"/>
      <c r="K162" s="101"/>
      <c r="L162" s="101"/>
      <c r="M162" s="101"/>
      <c r="N162" s="101"/>
      <c r="O162" s="50"/>
      <c r="P162" s="50"/>
    </row>
    <row r="163" ht="15.75" customHeight="1">
      <c r="A163" s="115"/>
      <c r="B163" s="68"/>
      <c r="C163" s="68"/>
      <c r="D163" s="68"/>
      <c r="E163" s="68"/>
      <c r="F163" s="68"/>
      <c r="G163" s="68"/>
      <c r="H163" s="101"/>
      <c r="I163" s="101"/>
      <c r="J163" s="101"/>
      <c r="K163" s="101"/>
      <c r="L163" s="101"/>
      <c r="M163" s="101"/>
      <c r="N163" s="101"/>
      <c r="O163" s="50"/>
      <c r="P163" s="50"/>
    </row>
    <row r="164" ht="15.75" customHeight="1">
      <c r="A164" s="115"/>
      <c r="B164" s="68"/>
      <c r="C164" s="68"/>
      <c r="D164" s="68"/>
      <c r="E164" s="68"/>
      <c r="F164" s="68"/>
      <c r="G164" s="68"/>
      <c r="H164" s="101"/>
      <c r="I164" s="101"/>
      <c r="J164" s="101"/>
      <c r="K164" s="101"/>
      <c r="L164" s="101"/>
      <c r="M164" s="101"/>
      <c r="N164" s="101"/>
      <c r="O164" s="50"/>
      <c r="P164" s="50"/>
    </row>
    <row r="165" ht="15.75" customHeight="1">
      <c r="A165" s="115"/>
      <c r="B165" s="68"/>
      <c r="C165" s="68"/>
      <c r="D165" s="68"/>
      <c r="E165" s="68"/>
      <c r="F165" s="68"/>
      <c r="G165" s="68"/>
      <c r="H165" s="101"/>
      <c r="I165" s="101"/>
      <c r="J165" s="101"/>
      <c r="K165" s="101"/>
      <c r="L165" s="101"/>
      <c r="M165" s="101"/>
      <c r="N165" s="101"/>
      <c r="O165" s="50"/>
      <c r="P165" s="50"/>
    </row>
    <row r="166" ht="15.75" customHeight="1">
      <c r="A166" s="115"/>
      <c r="B166" s="68"/>
      <c r="C166" s="68"/>
      <c r="D166" s="68"/>
      <c r="E166" s="68"/>
      <c r="F166" s="68"/>
      <c r="G166" s="68"/>
      <c r="H166" s="101"/>
      <c r="I166" s="101"/>
      <c r="J166" s="101"/>
      <c r="K166" s="101"/>
      <c r="L166" s="101"/>
      <c r="M166" s="101"/>
      <c r="N166" s="101"/>
      <c r="O166" s="50"/>
      <c r="P166" s="50"/>
    </row>
    <row r="167" ht="15.75" customHeight="1">
      <c r="A167" s="115"/>
      <c r="B167" s="68"/>
      <c r="C167" s="68"/>
      <c r="D167" s="68"/>
      <c r="E167" s="68"/>
      <c r="F167" s="68"/>
      <c r="G167" s="68"/>
      <c r="H167" s="101"/>
      <c r="I167" s="101"/>
      <c r="J167" s="101"/>
      <c r="K167" s="101"/>
      <c r="L167" s="101"/>
      <c r="M167" s="101"/>
      <c r="N167" s="101"/>
      <c r="O167" s="50"/>
      <c r="P167" s="50"/>
    </row>
    <row r="168" ht="15.75" customHeight="1">
      <c r="A168" s="115"/>
      <c r="B168" s="68"/>
      <c r="C168" s="68"/>
      <c r="D168" s="68"/>
      <c r="E168" s="68"/>
      <c r="F168" s="68"/>
      <c r="G168" s="68"/>
      <c r="H168" s="101"/>
      <c r="I168" s="101"/>
      <c r="J168" s="101"/>
      <c r="K168" s="101"/>
      <c r="L168" s="101"/>
      <c r="M168" s="101"/>
      <c r="N168" s="101"/>
      <c r="O168" s="50"/>
      <c r="P168" s="50"/>
    </row>
    <row r="169" ht="15.75" customHeight="1">
      <c r="A169" s="115"/>
      <c r="B169" s="68"/>
      <c r="C169" s="68"/>
      <c r="D169" s="68"/>
      <c r="E169" s="68"/>
      <c r="F169" s="68"/>
      <c r="G169" s="68"/>
      <c r="H169" s="101"/>
      <c r="I169" s="101"/>
      <c r="J169" s="101"/>
      <c r="K169" s="101"/>
      <c r="L169" s="101"/>
      <c r="M169" s="101"/>
      <c r="N169" s="101"/>
      <c r="O169" s="50"/>
      <c r="P169" s="50"/>
    </row>
    <row r="170" ht="15.75" customHeight="1">
      <c r="A170" s="115"/>
      <c r="B170" s="68"/>
      <c r="C170" s="68"/>
      <c r="D170" s="68"/>
      <c r="E170" s="68"/>
      <c r="F170" s="68"/>
      <c r="G170" s="68"/>
      <c r="H170" s="101"/>
      <c r="I170" s="101"/>
      <c r="J170" s="101"/>
      <c r="K170" s="101"/>
      <c r="L170" s="101"/>
      <c r="M170" s="101"/>
      <c r="N170" s="101"/>
      <c r="O170" s="50"/>
      <c r="P170" s="50"/>
    </row>
    <row r="171" ht="15.75" customHeight="1">
      <c r="A171" s="115"/>
      <c r="B171" s="68"/>
      <c r="C171" s="68"/>
      <c r="D171" s="68"/>
      <c r="E171" s="68"/>
      <c r="F171" s="68"/>
      <c r="G171" s="68"/>
      <c r="H171" s="101"/>
      <c r="I171" s="101"/>
      <c r="J171" s="101"/>
      <c r="K171" s="101"/>
      <c r="L171" s="101"/>
      <c r="M171" s="101"/>
      <c r="N171" s="101"/>
      <c r="O171" s="50"/>
      <c r="P171" s="50"/>
    </row>
    <row r="172" ht="15.75" customHeight="1">
      <c r="A172" s="115"/>
      <c r="B172" s="68"/>
      <c r="C172" s="68"/>
      <c r="D172" s="68"/>
      <c r="E172" s="68"/>
      <c r="F172" s="68"/>
      <c r="G172" s="68"/>
      <c r="H172" s="101"/>
      <c r="I172" s="101"/>
      <c r="J172" s="101"/>
      <c r="K172" s="101"/>
      <c r="L172" s="101"/>
      <c r="M172" s="101"/>
      <c r="N172" s="101"/>
      <c r="O172" s="50"/>
      <c r="P172" s="50"/>
    </row>
    <row r="173" ht="15.75" customHeight="1">
      <c r="A173" s="115"/>
      <c r="B173" s="68"/>
      <c r="C173" s="68"/>
      <c r="D173" s="68"/>
      <c r="E173" s="68"/>
      <c r="F173" s="68"/>
      <c r="G173" s="68"/>
      <c r="H173" s="101"/>
      <c r="I173" s="101"/>
      <c r="J173" s="101"/>
      <c r="K173" s="101"/>
      <c r="L173" s="101"/>
      <c r="M173" s="101"/>
      <c r="N173" s="101"/>
      <c r="O173" s="50"/>
      <c r="P173" s="50"/>
    </row>
    <row r="174" ht="15.75" customHeight="1">
      <c r="A174" s="115"/>
      <c r="B174" s="68"/>
      <c r="C174" s="68"/>
      <c r="D174" s="68"/>
      <c r="E174" s="68"/>
      <c r="F174" s="68"/>
      <c r="G174" s="68"/>
      <c r="H174" s="101"/>
      <c r="I174" s="101"/>
      <c r="J174" s="101"/>
      <c r="K174" s="101"/>
      <c r="L174" s="101"/>
      <c r="M174" s="101"/>
      <c r="N174" s="101"/>
      <c r="O174" s="50"/>
      <c r="P174" s="50"/>
    </row>
    <row r="175" ht="15.75" customHeight="1">
      <c r="A175" s="115"/>
      <c r="B175" s="68"/>
      <c r="C175" s="68"/>
      <c r="D175" s="68"/>
      <c r="E175" s="68"/>
      <c r="F175" s="68"/>
      <c r="G175" s="68"/>
      <c r="H175" s="101"/>
      <c r="I175" s="101"/>
      <c r="J175" s="101"/>
      <c r="K175" s="101"/>
      <c r="L175" s="101"/>
      <c r="M175" s="101"/>
      <c r="N175" s="101"/>
      <c r="O175" s="50"/>
      <c r="P175" s="50"/>
    </row>
    <row r="176" ht="15.75" customHeight="1">
      <c r="A176" s="115"/>
      <c r="B176" s="68"/>
      <c r="C176" s="68"/>
      <c r="D176" s="68"/>
      <c r="E176" s="68"/>
      <c r="F176" s="68"/>
      <c r="G176" s="68"/>
      <c r="H176" s="101"/>
      <c r="I176" s="101"/>
      <c r="J176" s="101"/>
      <c r="K176" s="101"/>
      <c r="L176" s="101"/>
      <c r="M176" s="101"/>
      <c r="N176" s="101"/>
      <c r="O176" s="50"/>
      <c r="P176" s="50"/>
    </row>
    <row r="177" ht="15.75" customHeight="1">
      <c r="A177" s="115"/>
      <c r="B177" s="68"/>
      <c r="C177" s="68"/>
      <c r="D177" s="68"/>
      <c r="E177" s="68"/>
      <c r="F177" s="68"/>
      <c r="G177" s="68"/>
      <c r="H177" s="101"/>
      <c r="I177" s="101"/>
      <c r="J177" s="101"/>
      <c r="K177" s="101"/>
      <c r="L177" s="101"/>
      <c r="M177" s="101"/>
      <c r="N177" s="101"/>
      <c r="O177" s="50"/>
      <c r="P177" s="50"/>
    </row>
    <row r="178" ht="15.75" customHeight="1">
      <c r="A178" s="115"/>
      <c r="B178" s="68"/>
      <c r="C178" s="68"/>
      <c r="D178" s="68"/>
      <c r="E178" s="68"/>
      <c r="F178" s="68"/>
      <c r="G178" s="68"/>
      <c r="H178" s="101"/>
      <c r="I178" s="101"/>
      <c r="J178" s="101"/>
      <c r="K178" s="101"/>
      <c r="L178" s="101"/>
      <c r="M178" s="101"/>
      <c r="N178" s="101"/>
      <c r="O178" s="50"/>
      <c r="P178" s="50"/>
    </row>
    <row r="179" ht="15.75" customHeight="1">
      <c r="A179" s="115"/>
      <c r="B179" s="68"/>
      <c r="C179" s="68"/>
      <c r="D179" s="68"/>
      <c r="E179" s="68"/>
      <c r="F179" s="68"/>
      <c r="G179" s="68"/>
      <c r="H179" s="101"/>
      <c r="I179" s="101"/>
      <c r="J179" s="101"/>
      <c r="K179" s="101"/>
      <c r="L179" s="101"/>
      <c r="M179" s="101"/>
      <c r="N179" s="101"/>
      <c r="O179" s="50"/>
      <c r="P179" s="50"/>
    </row>
    <row r="180" ht="15.75" customHeight="1">
      <c r="A180" s="115"/>
      <c r="B180" s="68"/>
      <c r="C180" s="68"/>
      <c r="D180" s="68"/>
      <c r="E180" s="68"/>
      <c r="F180" s="68"/>
      <c r="G180" s="68"/>
      <c r="H180" s="101"/>
      <c r="I180" s="101"/>
      <c r="J180" s="101"/>
      <c r="K180" s="101"/>
      <c r="L180" s="101"/>
      <c r="M180" s="101"/>
      <c r="N180" s="101"/>
      <c r="O180" s="50"/>
      <c r="P180" s="50"/>
    </row>
    <row r="181" ht="15.75" customHeight="1">
      <c r="A181" s="115"/>
      <c r="B181" s="68"/>
      <c r="C181" s="68"/>
      <c r="D181" s="68"/>
      <c r="E181" s="68"/>
      <c r="F181" s="68"/>
      <c r="G181" s="68"/>
      <c r="H181" s="101"/>
      <c r="I181" s="101"/>
      <c r="J181" s="101"/>
      <c r="K181" s="101"/>
      <c r="L181" s="101"/>
      <c r="M181" s="101"/>
      <c r="N181" s="101"/>
      <c r="O181" s="50"/>
      <c r="P181" s="50"/>
    </row>
    <row r="182" ht="15.75" customHeight="1">
      <c r="A182" s="115"/>
      <c r="B182" s="68"/>
      <c r="C182" s="68"/>
      <c r="D182" s="68"/>
      <c r="E182" s="68"/>
      <c r="F182" s="68"/>
      <c r="G182" s="68"/>
      <c r="H182" s="101"/>
      <c r="I182" s="101"/>
      <c r="J182" s="101"/>
      <c r="K182" s="101"/>
      <c r="L182" s="101"/>
      <c r="M182" s="101"/>
      <c r="N182" s="101"/>
      <c r="O182" s="50"/>
      <c r="P182" s="50"/>
    </row>
    <row r="183" ht="15.75" customHeight="1">
      <c r="A183" s="115"/>
      <c r="B183" s="68"/>
      <c r="C183" s="68"/>
      <c r="D183" s="68"/>
      <c r="E183" s="68"/>
      <c r="F183" s="68"/>
      <c r="G183" s="68"/>
      <c r="H183" s="101"/>
      <c r="I183" s="101"/>
      <c r="J183" s="101"/>
      <c r="K183" s="101"/>
      <c r="L183" s="101"/>
      <c r="M183" s="101"/>
      <c r="N183" s="101"/>
      <c r="O183" s="50"/>
      <c r="P183" s="50"/>
    </row>
    <row r="184" ht="15.75" customHeight="1">
      <c r="A184" s="115"/>
      <c r="B184" s="68"/>
      <c r="C184" s="68"/>
      <c r="D184" s="68"/>
      <c r="E184" s="68"/>
      <c r="F184" s="68"/>
      <c r="G184" s="68"/>
      <c r="H184" s="101"/>
      <c r="I184" s="101"/>
      <c r="J184" s="101"/>
      <c r="K184" s="101"/>
      <c r="L184" s="101"/>
      <c r="M184" s="101"/>
      <c r="N184" s="101"/>
      <c r="O184" s="50"/>
      <c r="P184" s="50"/>
    </row>
    <row r="185" ht="15.75" customHeight="1">
      <c r="A185" s="115"/>
      <c r="B185" s="68"/>
      <c r="C185" s="68"/>
      <c r="D185" s="68"/>
      <c r="E185" s="68"/>
      <c r="F185" s="68"/>
      <c r="G185" s="68"/>
      <c r="H185" s="101"/>
      <c r="I185" s="101"/>
      <c r="J185" s="101"/>
      <c r="K185" s="101"/>
      <c r="L185" s="101"/>
      <c r="M185" s="101"/>
      <c r="N185" s="101"/>
      <c r="O185" s="50"/>
      <c r="P185" s="50"/>
    </row>
    <row r="186" ht="15.75" customHeight="1">
      <c r="A186" s="115"/>
      <c r="B186" s="68"/>
      <c r="C186" s="68"/>
      <c r="D186" s="68"/>
      <c r="E186" s="68"/>
      <c r="F186" s="68"/>
      <c r="G186" s="68"/>
      <c r="H186" s="101"/>
      <c r="I186" s="101"/>
      <c r="J186" s="101"/>
      <c r="K186" s="101"/>
      <c r="L186" s="101"/>
      <c r="M186" s="101"/>
      <c r="N186" s="101"/>
      <c r="O186" s="50"/>
      <c r="P186" s="50"/>
    </row>
    <row r="187" ht="15.75" customHeight="1">
      <c r="A187" s="115"/>
      <c r="B187" s="68"/>
      <c r="C187" s="68"/>
      <c r="D187" s="68"/>
      <c r="E187" s="68"/>
      <c r="F187" s="68"/>
      <c r="G187" s="68"/>
      <c r="H187" s="101"/>
      <c r="I187" s="101"/>
      <c r="J187" s="101"/>
      <c r="K187" s="101"/>
      <c r="L187" s="101"/>
      <c r="M187" s="101"/>
      <c r="N187" s="101"/>
      <c r="O187" s="50"/>
      <c r="P187" s="50"/>
    </row>
    <row r="188" ht="15.75" customHeight="1">
      <c r="A188" s="115"/>
      <c r="B188" s="68"/>
      <c r="C188" s="68"/>
      <c r="D188" s="68"/>
      <c r="E188" s="68"/>
      <c r="F188" s="68"/>
      <c r="G188" s="68"/>
      <c r="H188" s="101"/>
      <c r="I188" s="101"/>
      <c r="J188" s="101"/>
      <c r="K188" s="101"/>
      <c r="L188" s="101"/>
      <c r="M188" s="101"/>
      <c r="N188" s="101"/>
      <c r="O188" s="50"/>
      <c r="P188" s="50"/>
    </row>
    <row r="189" ht="15.75" customHeight="1">
      <c r="A189" s="115"/>
      <c r="B189" s="68"/>
      <c r="C189" s="68"/>
      <c r="D189" s="68"/>
      <c r="E189" s="68"/>
      <c r="F189" s="68"/>
      <c r="G189" s="68"/>
      <c r="H189" s="101"/>
      <c r="I189" s="101"/>
      <c r="J189" s="101"/>
      <c r="K189" s="101"/>
      <c r="L189" s="101"/>
      <c r="M189" s="101"/>
      <c r="N189" s="101"/>
      <c r="O189" s="50"/>
      <c r="P189" s="50"/>
    </row>
    <row r="190" ht="15.75" customHeight="1">
      <c r="A190" s="115"/>
      <c r="B190" s="68"/>
      <c r="C190" s="68"/>
      <c r="D190" s="68"/>
      <c r="E190" s="68"/>
      <c r="F190" s="68"/>
      <c r="G190" s="68"/>
      <c r="H190" s="101"/>
      <c r="I190" s="101"/>
      <c r="J190" s="101"/>
      <c r="K190" s="101"/>
      <c r="L190" s="101"/>
      <c r="M190" s="101"/>
      <c r="N190" s="101"/>
      <c r="O190" s="50"/>
      <c r="P190" s="50"/>
    </row>
    <row r="191" ht="15.75" customHeight="1">
      <c r="A191" s="115"/>
      <c r="B191" s="68"/>
      <c r="C191" s="68"/>
      <c r="D191" s="68"/>
      <c r="E191" s="68"/>
      <c r="F191" s="68"/>
      <c r="G191" s="68"/>
      <c r="H191" s="101"/>
      <c r="I191" s="101"/>
      <c r="J191" s="101"/>
      <c r="K191" s="101"/>
      <c r="L191" s="101"/>
      <c r="M191" s="101"/>
      <c r="N191" s="101"/>
      <c r="O191" s="50"/>
      <c r="P191" s="50"/>
    </row>
    <row r="192" ht="15.75" customHeight="1">
      <c r="A192" s="115"/>
      <c r="B192" s="68"/>
      <c r="C192" s="68"/>
      <c r="D192" s="68"/>
      <c r="E192" s="68"/>
      <c r="F192" s="68"/>
      <c r="G192" s="68"/>
      <c r="H192" s="101"/>
      <c r="I192" s="101"/>
      <c r="J192" s="101"/>
      <c r="K192" s="101"/>
      <c r="L192" s="101"/>
      <c r="M192" s="101"/>
      <c r="N192" s="101"/>
      <c r="O192" s="50"/>
      <c r="P192" s="50"/>
    </row>
    <row r="193" ht="15.75" customHeight="1">
      <c r="A193" s="115"/>
      <c r="B193" s="68"/>
      <c r="C193" s="68"/>
      <c r="D193" s="68"/>
      <c r="E193" s="68"/>
      <c r="F193" s="68"/>
      <c r="G193" s="68"/>
      <c r="H193" s="101"/>
      <c r="I193" s="101"/>
      <c r="J193" s="101"/>
      <c r="K193" s="101"/>
      <c r="L193" s="101"/>
      <c r="M193" s="101"/>
      <c r="N193" s="101"/>
      <c r="O193" s="50"/>
      <c r="P193" s="50"/>
    </row>
    <row r="194" ht="15.75" customHeight="1">
      <c r="A194" s="115"/>
      <c r="B194" s="68"/>
      <c r="C194" s="68"/>
      <c r="D194" s="68"/>
      <c r="E194" s="68"/>
      <c r="F194" s="68"/>
      <c r="G194" s="68"/>
      <c r="H194" s="101"/>
      <c r="I194" s="101"/>
      <c r="J194" s="101"/>
      <c r="K194" s="101"/>
      <c r="L194" s="101"/>
      <c r="M194" s="101"/>
      <c r="N194" s="101"/>
      <c r="O194" s="50"/>
      <c r="P194" s="50"/>
    </row>
    <row r="195" ht="15.75" customHeight="1">
      <c r="A195" s="115"/>
      <c r="B195" s="68"/>
      <c r="C195" s="68"/>
      <c r="D195" s="68"/>
      <c r="E195" s="68"/>
      <c r="F195" s="68"/>
      <c r="G195" s="68"/>
      <c r="H195" s="101"/>
      <c r="I195" s="101"/>
      <c r="J195" s="101"/>
      <c r="K195" s="101"/>
      <c r="L195" s="101"/>
      <c r="M195" s="101"/>
      <c r="N195" s="101"/>
      <c r="O195" s="50"/>
      <c r="P195" s="50"/>
    </row>
    <row r="196" ht="15.75" customHeight="1">
      <c r="A196" s="115"/>
      <c r="B196" s="68"/>
      <c r="C196" s="68"/>
      <c r="D196" s="68"/>
      <c r="E196" s="68"/>
      <c r="F196" s="68"/>
      <c r="G196" s="68"/>
      <c r="H196" s="101"/>
      <c r="I196" s="101"/>
      <c r="J196" s="101"/>
      <c r="K196" s="101"/>
      <c r="L196" s="101"/>
      <c r="M196" s="101"/>
      <c r="N196" s="101"/>
      <c r="O196" s="50"/>
      <c r="P196" s="50"/>
    </row>
    <row r="197" ht="15.75" customHeight="1">
      <c r="A197" s="115"/>
      <c r="B197" s="68"/>
      <c r="C197" s="68"/>
      <c r="D197" s="68"/>
      <c r="E197" s="68"/>
      <c r="F197" s="68"/>
      <c r="G197" s="68"/>
      <c r="H197" s="101"/>
      <c r="I197" s="101"/>
      <c r="J197" s="101"/>
      <c r="K197" s="101"/>
      <c r="L197" s="101"/>
      <c r="M197" s="101"/>
      <c r="N197" s="101"/>
      <c r="O197" s="50"/>
      <c r="P197" s="50"/>
    </row>
    <row r="198" ht="15.75" customHeight="1">
      <c r="A198" s="115"/>
      <c r="B198" s="68"/>
      <c r="C198" s="68"/>
      <c r="D198" s="68"/>
      <c r="E198" s="68"/>
      <c r="F198" s="68"/>
      <c r="G198" s="68"/>
      <c r="H198" s="101"/>
      <c r="I198" s="101"/>
      <c r="J198" s="101"/>
      <c r="K198" s="101"/>
      <c r="L198" s="101"/>
      <c r="M198" s="101"/>
      <c r="N198" s="101"/>
      <c r="O198" s="50"/>
      <c r="P198" s="50"/>
    </row>
    <row r="199" ht="15.75" customHeight="1">
      <c r="A199" s="115"/>
      <c r="B199" s="68"/>
      <c r="C199" s="68"/>
      <c r="D199" s="68"/>
      <c r="E199" s="68"/>
      <c r="F199" s="68"/>
      <c r="G199" s="68"/>
      <c r="H199" s="101"/>
      <c r="I199" s="101"/>
      <c r="J199" s="101"/>
      <c r="K199" s="101"/>
      <c r="L199" s="101"/>
      <c r="M199" s="101"/>
      <c r="N199" s="101"/>
      <c r="O199" s="50"/>
      <c r="P199" s="50"/>
    </row>
    <row r="200" ht="15.75" customHeight="1">
      <c r="A200" s="115"/>
      <c r="B200" s="68"/>
      <c r="C200" s="68"/>
      <c r="D200" s="68"/>
      <c r="E200" s="68"/>
      <c r="F200" s="68"/>
      <c r="G200" s="68"/>
      <c r="H200" s="101"/>
      <c r="I200" s="101"/>
      <c r="J200" s="101"/>
      <c r="K200" s="101"/>
      <c r="L200" s="101"/>
      <c r="M200" s="101"/>
      <c r="N200" s="101"/>
      <c r="O200" s="50"/>
      <c r="P200" s="50"/>
    </row>
    <row r="201" ht="15.75" customHeight="1">
      <c r="A201" s="115"/>
      <c r="B201" s="68"/>
      <c r="C201" s="68"/>
      <c r="D201" s="68"/>
      <c r="E201" s="68"/>
      <c r="F201" s="68"/>
      <c r="G201" s="68"/>
      <c r="H201" s="101"/>
      <c r="I201" s="101"/>
      <c r="J201" s="101"/>
      <c r="K201" s="101"/>
      <c r="L201" s="101"/>
      <c r="M201" s="101"/>
      <c r="N201" s="101"/>
      <c r="O201" s="50"/>
      <c r="P201" s="50"/>
    </row>
    <row r="202" ht="15.75" customHeight="1">
      <c r="A202" s="115"/>
      <c r="B202" s="68"/>
      <c r="C202" s="68"/>
      <c r="D202" s="68"/>
      <c r="E202" s="68"/>
      <c r="F202" s="68"/>
      <c r="G202" s="68"/>
      <c r="H202" s="101"/>
      <c r="I202" s="101"/>
      <c r="J202" s="101"/>
      <c r="K202" s="101"/>
      <c r="L202" s="101"/>
      <c r="M202" s="101"/>
      <c r="N202" s="101"/>
      <c r="O202" s="50"/>
      <c r="P202" s="50"/>
    </row>
    <row r="203" ht="15.75" customHeight="1">
      <c r="A203" s="115"/>
      <c r="B203" s="68"/>
      <c r="C203" s="68"/>
      <c r="D203" s="68"/>
      <c r="E203" s="68"/>
      <c r="F203" s="68"/>
      <c r="G203" s="68"/>
      <c r="H203" s="101"/>
      <c r="I203" s="101"/>
      <c r="J203" s="101"/>
      <c r="K203" s="101"/>
      <c r="L203" s="101"/>
      <c r="M203" s="101"/>
      <c r="N203" s="101"/>
      <c r="O203" s="50"/>
      <c r="P203" s="50"/>
    </row>
    <row r="204" ht="15.75" customHeight="1">
      <c r="A204" s="115"/>
      <c r="B204" s="68"/>
      <c r="C204" s="68"/>
      <c r="D204" s="68"/>
      <c r="E204" s="68"/>
      <c r="F204" s="68"/>
      <c r="G204" s="68"/>
      <c r="H204" s="101"/>
      <c r="I204" s="101"/>
      <c r="J204" s="101"/>
      <c r="K204" s="101"/>
      <c r="L204" s="101"/>
      <c r="M204" s="101"/>
      <c r="N204" s="101"/>
      <c r="O204" s="50"/>
      <c r="P204" s="50"/>
    </row>
    <row r="205" ht="15.75" customHeight="1">
      <c r="A205" s="115"/>
      <c r="B205" s="68"/>
      <c r="C205" s="68"/>
      <c r="D205" s="68"/>
      <c r="E205" s="68"/>
      <c r="F205" s="68"/>
      <c r="G205" s="68"/>
      <c r="H205" s="101"/>
      <c r="I205" s="101"/>
      <c r="J205" s="101"/>
      <c r="K205" s="101"/>
      <c r="L205" s="101"/>
      <c r="M205" s="101"/>
      <c r="N205" s="101"/>
      <c r="O205" s="50"/>
      <c r="P205" s="50"/>
    </row>
    <row r="206" ht="15.75" customHeight="1">
      <c r="A206" s="115"/>
      <c r="B206" s="68"/>
      <c r="C206" s="68"/>
      <c r="D206" s="68"/>
      <c r="E206" s="68"/>
      <c r="F206" s="68"/>
      <c r="G206" s="68"/>
      <c r="H206" s="101"/>
      <c r="I206" s="101"/>
      <c r="J206" s="101"/>
      <c r="K206" s="101"/>
      <c r="L206" s="101"/>
      <c r="M206" s="101"/>
      <c r="N206" s="101"/>
      <c r="O206" s="50"/>
      <c r="P206" s="50"/>
    </row>
    <row r="207" ht="15.75" customHeight="1">
      <c r="A207" s="115"/>
      <c r="B207" s="68"/>
      <c r="C207" s="68"/>
      <c r="D207" s="68"/>
      <c r="E207" s="68"/>
      <c r="F207" s="68"/>
      <c r="G207" s="68"/>
      <c r="H207" s="101"/>
      <c r="I207" s="101"/>
      <c r="J207" s="101"/>
      <c r="K207" s="101"/>
      <c r="L207" s="101"/>
      <c r="M207" s="101"/>
      <c r="N207" s="101"/>
      <c r="O207" s="50"/>
      <c r="P207" s="50"/>
    </row>
    <row r="208" ht="15.75" customHeight="1">
      <c r="A208" s="115"/>
      <c r="B208" s="68"/>
      <c r="C208" s="68"/>
      <c r="D208" s="68"/>
      <c r="E208" s="68"/>
      <c r="F208" s="68"/>
      <c r="G208" s="68"/>
      <c r="H208" s="101"/>
      <c r="I208" s="101"/>
      <c r="J208" s="101"/>
      <c r="K208" s="101"/>
      <c r="L208" s="101"/>
      <c r="M208" s="101"/>
      <c r="N208" s="101"/>
      <c r="O208" s="50"/>
      <c r="P208" s="50"/>
    </row>
    <row r="209" ht="15.75" customHeight="1">
      <c r="A209" s="115"/>
      <c r="B209" s="68"/>
      <c r="C209" s="68"/>
      <c r="D209" s="68"/>
      <c r="E209" s="68"/>
      <c r="F209" s="68"/>
      <c r="G209" s="68"/>
      <c r="H209" s="101"/>
      <c r="I209" s="101"/>
      <c r="J209" s="101"/>
      <c r="K209" s="101"/>
      <c r="L209" s="101"/>
      <c r="M209" s="101"/>
      <c r="N209" s="101"/>
      <c r="O209" s="50"/>
      <c r="P209" s="50"/>
    </row>
    <row r="210" ht="15.75" customHeight="1">
      <c r="A210" s="115"/>
      <c r="B210" s="68"/>
      <c r="C210" s="68"/>
      <c r="D210" s="68"/>
      <c r="E210" s="68"/>
      <c r="F210" s="68"/>
      <c r="G210" s="68"/>
      <c r="H210" s="101"/>
      <c r="I210" s="101"/>
      <c r="J210" s="101"/>
      <c r="K210" s="101"/>
      <c r="L210" s="101"/>
      <c r="M210" s="101"/>
      <c r="N210" s="101"/>
      <c r="O210" s="50"/>
      <c r="P210" s="50"/>
    </row>
    <row r="211" ht="15.75" customHeight="1">
      <c r="A211" s="115"/>
      <c r="B211" s="68"/>
      <c r="C211" s="68"/>
      <c r="D211" s="68"/>
      <c r="E211" s="68"/>
      <c r="F211" s="68"/>
      <c r="G211" s="68"/>
      <c r="H211" s="101"/>
      <c r="I211" s="101"/>
      <c r="J211" s="101"/>
      <c r="K211" s="101"/>
      <c r="L211" s="101"/>
      <c r="M211" s="101"/>
      <c r="N211" s="101"/>
      <c r="O211" s="50"/>
      <c r="P211" s="50"/>
    </row>
    <row r="212" ht="15.75" customHeight="1">
      <c r="A212" s="115"/>
      <c r="B212" s="68"/>
      <c r="C212" s="68"/>
      <c r="D212" s="68"/>
      <c r="E212" s="68"/>
      <c r="F212" s="68"/>
      <c r="G212" s="68"/>
      <c r="H212" s="101"/>
      <c r="I212" s="101"/>
      <c r="J212" s="101"/>
      <c r="K212" s="101"/>
      <c r="L212" s="101"/>
      <c r="M212" s="101"/>
      <c r="N212" s="101"/>
      <c r="O212" s="50"/>
      <c r="P212" s="50"/>
    </row>
    <row r="213" ht="15.75" customHeight="1">
      <c r="A213" s="115"/>
      <c r="B213" s="68"/>
      <c r="C213" s="68"/>
      <c r="D213" s="68"/>
      <c r="E213" s="68"/>
      <c r="F213" s="68"/>
      <c r="G213" s="68"/>
      <c r="H213" s="101"/>
      <c r="I213" s="101"/>
      <c r="J213" s="101"/>
      <c r="K213" s="101"/>
      <c r="L213" s="101"/>
      <c r="M213" s="101"/>
      <c r="N213" s="101"/>
      <c r="O213" s="50"/>
      <c r="P213" s="50"/>
    </row>
    <row r="214" ht="15.75" customHeight="1">
      <c r="A214" s="115"/>
      <c r="B214" s="68"/>
      <c r="C214" s="68"/>
      <c r="D214" s="68"/>
      <c r="E214" s="68"/>
      <c r="F214" s="68"/>
      <c r="G214" s="68"/>
      <c r="H214" s="101"/>
      <c r="I214" s="101"/>
      <c r="J214" s="101"/>
      <c r="K214" s="101"/>
      <c r="L214" s="101"/>
      <c r="M214" s="101"/>
      <c r="N214" s="101"/>
      <c r="O214" s="50"/>
      <c r="P214" s="50"/>
    </row>
    <row r="215" ht="15.75" customHeight="1">
      <c r="A215" s="115"/>
      <c r="B215" s="68"/>
      <c r="C215" s="68"/>
      <c r="D215" s="68"/>
      <c r="E215" s="68"/>
      <c r="F215" s="68"/>
      <c r="G215" s="68"/>
      <c r="H215" s="101"/>
      <c r="I215" s="101"/>
      <c r="J215" s="101"/>
      <c r="K215" s="101"/>
      <c r="L215" s="101"/>
      <c r="M215" s="101"/>
      <c r="N215" s="101"/>
      <c r="O215" s="50"/>
      <c r="P215" s="50"/>
    </row>
    <row r="216" ht="15.75" customHeight="1">
      <c r="A216" s="115"/>
      <c r="B216" s="68"/>
      <c r="C216" s="68"/>
      <c r="D216" s="68"/>
      <c r="E216" s="68"/>
      <c r="F216" s="68"/>
      <c r="G216" s="68"/>
      <c r="H216" s="101"/>
      <c r="I216" s="101"/>
      <c r="J216" s="101"/>
      <c r="K216" s="101"/>
      <c r="L216" s="101"/>
      <c r="M216" s="101"/>
      <c r="N216" s="101"/>
      <c r="O216" s="50"/>
      <c r="P216" s="50"/>
    </row>
    <row r="217" ht="15.75" customHeight="1">
      <c r="A217" s="115"/>
      <c r="B217" s="68"/>
      <c r="C217" s="68"/>
      <c r="D217" s="68"/>
      <c r="E217" s="68"/>
      <c r="F217" s="68"/>
      <c r="G217" s="68"/>
      <c r="H217" s="101"/>
      <c r="I217" s="101"/>
      <c r="J217" s="101"/>
      <c r="K217" s="101"/>
      <c r="L217" s="101"/>
      <c r="M217" s="101"/>
      <c r="N217" s="101"/>
      <c r="O217" s="50"/>
      <c r="P217" s="50"/>
    </row>
    <row r="218" ht="15.75" customHeight="1">
      <c r="A218" s="115"/>
      <c r="B218" s="68"/>
      <c r="C218" s="68"/>
      <c r="D218" s="68"/>
      <c r="E218" s="68"/>
      <c r="F218" s="68"/>
      <c r="G218" s="68"/>
      <c r="H218" s="101"/>
      <c r="I218" s="101"/>
      <c r="J218" s="101"/>
      <c r="K218" s="101"/>
      <c r="L218" s="101"/>
      <c r="M218" s="101"/>
      <c r="N218" s="101"/>
      <c r="O218" s="50"/>
      <c r="P218" s="50"/>
    </row>
    <row r="219" ht="15.75" customHeight="1">
      <c r="A219" s="115"/>
      <c r="B219" s="68"/>
      <c r="C219" s="68"/>
      <c r="D219" s="68"/>
      <c r="E219" s="68"/>
      <c r="F219" s="68"/>
      <c r="G219" s="68"/>
      <c r="H219" s="101"/>
      <c r="I219" s="101"/>
      <c r="J219" s="101"/>
      <c r="K219" s="101"/>
      <c r="L219" s="101"/>
      <c r="M219" s="101"/>
      <c r="N219" s="101"/>
      <c r="O219" s="50"/>
      <c r="P219" s="50"/>
    </row>
    <row r="220" ht="15.75" customHeight="1">
      <c r="A220" s="115"/>
      <c r="B220" s="68"/>
      <c r="C220" s="68"/>
      <c r="D220" s="68"/>
      <c r="E220" s="68"/>
      <c r="F220" s="68"/>
      <c r="G220" s="68"/>
      <c r="H220" s="101"/>
      <c r="I220" s="101"/>
      <c r="J220" s="101"/>
      <c r="K220" s="101"/>
      <c r="L220" s="101"/>
      <c r="M220" s="101"/>
      <c r="N220" s="101"/>
      <c r="O220" s="50"/>
      <c r="P220" s="50"/>
    </row>
    <row r="221" ht="15.75" customHeight="1">
      <c r="A221" s="115"/>
      <c r="B221" s="68"/>
      <c r="C221" s="68"/>
      <c r="D221" s="68"/>
      <c r="E221" s="68"/>
      <c r="F221" s="68"/>
      <c r="G221" s="68"/>
      <c r="H221" s="101"/>
      <c r="I221" s="101"/>
      <c r="J221" s="101"/>
      <c r="K221" s="101"/>
      <c r="L221" s="101"/>
      <c r="M221" s="101"/>
      <c r="N221" s="101"/>
      <c r="O221" s="50"/>
      <c r="P221" s="50"/>
    </row>
    <row r="222" ht="15.75" customHeight="1">
      <c r="A222" s="115"/>
      <c r="B222" s="68"/>
      <c r="C222" s="68"/>
      <c r="D222" s="68"/>
      <c r="E222" s="68"/>
      <c r="F222" s="68"/>
      <c r="G222" s="68"/>
      <c r="H222" s="101"/>
      <c r="I222" s="101"/>
      <c r="J222" s="101"/>
      <c r="K222" s="101"/>
      <c r="L222" s="101"/>
      <c r="M222" s="101"/>
      <c r="N222" s="101"/>
      <c r="O222" s="50"/>
      <c r="P222" s="50"/>
    </row>
    <row r="223" ht="15.75" customHeight="1">
      <c r="A223" s="115"/>
      <c r="B223" s="68"/>
      <c r="C223" s="68"/>
      <c r="D223" s="68"/>
      <c r="E223" s="68"/>
      <c r="F223" s="68"/>
      <c r="G223" s="68"/>
      <c r="H223" s="101"/>
      <c r="I223" s="101"/>
      <c r="J223" s="101"/>
      <c r="K223" s="101"/>
      <c r="L223" s="101"/>
      <c r="M223" s="101"/>
      <c r="N223" s="101"/>
      <c r="O223" s="50"/>
      <c r="P223" s="50"/>
    </row>
    <row r="224" ht="15.75" customHeight="1">
      <c r="A224" s="115"/>
      <c r="B224" s="68"/>
      <c r="C224" s="68"/>
      <c r="D224" s="68"/>
      <c r="E224" s="68"/>
      <c r="F224" s="68"/>
      <c r="G224" s="68"/>
      <c r="H224" s="101"/>
      <c r="I224" s="101"/>
      <c r="J224" s="101"/>
      <c r="K224" s="101"/>
      <c r="L224" s="101"/>
      <c r="M224" s="101"/>
      <c r="N224" s="101"/>
      <c r="O224" s="50"/>
      <c r="P224" s="50"/>
    </row>
    <row r="225" ht="15.75" customHeight="1">
      <c r="A225" s="115"/>
      <c r="B225" s="68"/>
      <c r="C225" s="68"/>
      <c r="D225" s="68"/>
      <c r="E225" s="68"/>
      <c r="F225" s="68"/>
      <c r="G225" s="68"/>
      <c r="H225" s="101"/>
      <c r="I225" s="101"/>
      <c r="J225" s="101"/>
      <c r="K225" s="101"/>
      <c r="L225" s="101"/>
      <c r="M225" s="101"/>
      <c r="N225" s="101"/>
      <c r="O225" s="50"/>
      <c r="P225" s="50"/>
    </row>
    <row r="226" ht="15.75" customHeight="1">
      <c r="A226" s="115"/>
      <c r="B226" s="68"/>
      <c r="C226" s="68"/>
      <c r="D226" s="68"/>
      <c r="E226" s="68"/>
      <c r="F226" s="68"/>
      <c r="G226" s="68"/>
      <c r="H226" s="101"/>
      <c r="I226" s="101"/>
      <c r="J226" s="101"/>
      <c r="K226" s="101"/>
      <c r="L226" s="101"/>
      <c r="M226" s="101"/>
      <c r="N226" s="101"/>
      <c r="O226" s="50"/>
      <c r="P226" s="50"/>
    </row>
    <row r="227" ht="15.75" customHeight="1">
      <c r="A227" s="115"/>
      <c r="B227" s="68"/>
      <c r="C227" s="68"/>
      <c r="D227" s="68"/>
      <c r="E227" s="68"/>
      <c r="F227" s="68"/>
      <c r="G227" s="68"/>
      <c r="H227" s="101"/>
      <c r="I227" s="101"/>
      <c r="J227" s="101"/>
      <c r="K227" s="101"/>
      <c r="L227" s="101"/>
      <c r="M227" s="101"/>
      <c r="N227" s="101"/>
      <c r="O227" s="50"/>
      <c r="P227" s="50"/>
    </row>
    <row r="228" ht="15.75" customHeight="1">
      <c r="A228" s="115"/>
      <c r="B228" s="68"/>
      <c r="C228" s="68"/>
      <c r="D228" s="68"/>
      <c r="E228" s="68"/>
      <c r="F228" s="68"/>
      <c r="G228" s="68"/>
      <c r="H228" s="101"/>
      <c r="I228" s="101"/>
      <c r="J228" s="101"/>
      <c r="K228" s="101"/>
      <c r="L228" s="101"/>
      <c r="M228" s="101"/>
      <c r="N228" s="101"/>
      <c r="O228" s="50"/>
      <c r="P228" s="50"/>
    </row>
    <row r="229" ht="15.75" customHeight="1">
      <c r="A229" s="115"/>
      <c r="B229" s="115"/>
      <c r="C229" s="115"/>
      <c r="D229" s="115"/>
      <c r="E229" s="115"/>
      <c r="F229" s="115"/>
      <c r="G229" s="115"/>
    </row>
    <row r="230" ht="15.75" customHeight="1">
      <c r="A230" s="115"/>
      <c r="B230" s="115"/>
      <c r="C230" s="115"/>
      <c r="D230" s="115"/>
      <c r="E230" s="115"/>
      <c r="F230" s="115"/>
      <c r="G230" s="115"/>
    </row>
    <row r="231" ht="15.75" customHeight="1">
      <c r="A231" s="115"/>
      <c r="B231" s="115"/>
      <c r="C231" s="115"/>
      <c r="D231" s="115"/>
      <c r="E231" s="115"/>
      <c r="F231" s="115"/>
      <c r="G231" s="115"/>
    </row>
    <row r="232" ht="15.75" customHeight="1">
      <c r="A232" s="115"/>
      <c r="B232" s="115"/>
      <c r="C232" s="115"/>
      <c r="D232" s="115"/>
      <c r="E232" s="115"/>
      <c r="F232" s="115"/>
      <c r="G232" s="115"/>
    </row>
    <row r="233" ht="15.75" customHeight="1">
      <c r="A233" s="115"/>
      <c r="B233" s="115"/>
      <c r="C233" s="115"/>
      <c r="D233" s="115"/>
      <c r="E233" s="115"/>
      <c r="F233" s="115"/>
      <c r="G233" s="115"/>
    </row>
    <row r="234" ht="15.75" customHeight="1">
      <c r="A234" s="115"/>
      <c r="B234" s="115"/>
      <c r="C234" s="115"/>
      <c r="D234" s="115"/>
      <c r="E234" s="115"/>
      <c r="F234" s="115"/>
      <c r="G234" s="115"/>
    </row>
    <row r="235" ht="15.75" customHeight="1">
      <c r="A235" s="115"/>
      <c r="B235" s="115"/>
      <c r="C235" s="115"/>
      <c r="D235" s="115"/>
      <c r="E235" s="115"/>
      <c r="F235" s="115"/>
      <c r="G235" s="115"/>
    </row>
    <row r="236" ht="15.75" customHeight="1">
      <c r="A236" s="115"/>
      <c r="B236" s="115"/>
      <c r="C236" s="115"/>
      <c r="D236" s="115"/>
      <c r="E236" s="115"/>
      <c r="F236" s="115"/>
      <c r="G236" s="115"/>
    </row>
    <row r="237" ht="15.75" customHeight="1">
      <c r="A237" s="115"/>
      <c r="B237" s="115"/>
      <c r="C237" s="115"/>
      <c r="D237" s="115"/>
      <c r="E237" s="115"/>
      <c r="F237" s="115"/>
      <c r="G237" s="115"/>
    </row>
    <row r="238" ht="15.75" customHeight="1">
      <c r="A238" s="115"/>
      <c r="B238" s="115"/>
      <c r="C238" s="115"/>
      <c r="D238" s="115"/>
      <c r="E238" s="115"/>
      <c r="F238" s="115"/>
      <c r="G238" s="115"/>
    </row>
    <row r="239" ht="15.75" customHeight="1">
      <c r="A239" s="115"/>
      <c r="B239" s="115"/>
      <c r="C239" s="115"/>
      <c r="D239" s="115"/>
      <c r="E239" s="115"/>
      <c r="F239" s="115"/>
      <c r="G239" s="115"/>
    </row>
    <row r="240" ht="15.75" customHeight="1">
      <c r="A240" s="115"/>
      <c r="B240" s="115"/>
      <c r="C240" s="115"/>
      <c r="D240" s="115"/>
      <c r="E240" s="115"/>
      <c r="F240" s="115"/>
      <c r="G240" s="115"/>
    </row>
    <row r="241" ht="15.75" customHeight="1">
      <c r="A241" s="115"/>
      <c r="B241" s="115"/>
      <c r="C241" s="115"/>
      <c r="D241" s="115"/>
      <c r="E241" s="115"/>
      <c r="F241" s="115"/>
      <c r="G241" s="115"/>
    </row>
    <row r="242" ht="15.75" customHeight="1">
      <c r="A242" s="115"/>
      <c r="B242" s="115"/>
      <c r="C242" s="115"/>
      <c r="D242" s="115"/>
      <c r="E242" s="115"/>
      <c r="F242" s="115"/>
      <c r="G242" s="115"/>
    </row>
    <row r="243" ht="15.75" customHeight="1">
      <c r="A243" s="115"/>
      <c r="B243" s="115"/>
      <c r="C243" s="115"/>
      <c r="D243" s="115"/>
      <c r="E243" s="115"/>
      <c r="F243" s="115"/>
      <c r="G243" s="115"/>
    </row>
    <row r="244" ht="15.75" customHeight="1">
      <c r="A244" s="115"/>
      <c r="B244" s="115"/>
      <c r="C244" s="115"/>
      <c r="D244" s="115"/>
      <c r="E244" s="115"/>
      <c r="F244" s="115"/>
      <c r="G244" s="115"/>
    </row>
    <row r="245" ht="15.75" customHeight="1">
      <c r="A245" s="115"/>
      <c r="B245" s="115"/>
      <c r="C245" s="115"/>
      <c r="D245" s="115"/>
      <c r="E245" s="115"/>
      <c r="F245" s="115"/>
      <c r="G245" s="115"/>
    </row>
    <row r="246" ht="15.75" customHeight="1">
      <c r="A246" s="115"/>
      <c r="B246" s="115"/>
      <c r="C246" s="115"/>
      <c r="D246" s="115"/>
      <c r="E246" s="115"/>
      <c r="F246" s="115"/>
      <c r="G246" s="115"/>
    </row>
    <row r="247" ht="15.75" customHeight="1">
      <c r="A247" s="115"/>
      <c r="B247" s="115"/>
      <c r="C247" s="115"/>
      <c r="D247" s="115"/>
      <c r="E247" s="115"/>
      <c r="F247" s="115"/>
      <c r="G247" s="115"/>
    </row>
    <row r="248" ht="15.75" customHeight="1">
      <c r="A248" s="115"/>
      <c r="B248" s="115"/>
      <c r="C248" s="115"/>
      <c r="D248" s="115"/>
      <c r="E248" s="115"/>
      <c r="F248" s="115"/>
      <c r="G248" s="115"/>
    </row>
    <row r="249" ht="15.75" customHeight="1">
      <c r="A249" s="115"/>
      <c r="B249" s="115"/>
      <c r="C249" s="115"/>
      <c r="D249" s="115"/>
      <c r="E249" s="115"/>
      <c r="F249" s="115"/>
      <c r="G249" s="115"/>
    </row>
    <row r="250" ht="15.75" customHeight="1">
      <c r="A250" s="115"/>
      <c r="B250" s="115"/>
      <c r="C250" s="115"/>
      <c r="D250" s="115"/>
      <c r="E250" s="115"/>
      <c r="F250" s="115"/>
      <c r="G250" s="115"/>
    </row>
    <row r="251" ht="15.75" customHeight="1">
      <c r="A251" s="115"/>
      <c r="B251" s="115"/>
      <c r="C251" s="115"/>
      <c r="D251" s="115"/>
      <c r="E251" s="115"/>
      <c r="F251" s="115"/>
      <c r="G251" s="115"/>
    </row>
    <row r="252" ht="15.75" customHeight="1">
      <c r="A252" s="115"/>
      <c r="B252" s="115"/>
      <c r="C252" s="115"/>
      <c r="D252" s="115"/>
      <c r="E252" s="115"/>
      <c r="F252" s="115"/>
      <c r="G252" s="115"/>
    </row>
    <row r="253" ht="15.75" customHeight="1">
      <c r="A253" s="115"/>
      <c r="B253" s="115"/>
      <c r="C253" s="115"/>
      <c r="D253" s="115"/>
      <c r="E253" s="115"/>
      <c r="F253" s="115"/>
      <c r="G253" s="115"/>
    </row>
    <row r="254" ht="15.75" customHeight="1">
      <c r="A254" s="115"/>
      <c r="B254" s="115"/>
      <c r="C254" s="115"/>
      <c r="D254" s="115"/>
      <c r="E254" s="115"/>
      <c r="F254" s="115"/>
      <c r="G254" s="115"/>
    </row>
    <row r="255" ht="15.75" customHeight="1">
      <c r="A255" s="115"/>
      <c r="B255" s="115"/>
      <c r="C255" s="115"/>
      <c r="D255" s="115"/>
      <c r="E255" s="115"/>
      <c r="F255" s="115"/>
      <c r="G255" s="115"/>
    </row>
    <row r="256" ht="15.75" customHeight="1">
      <c r="A256" s="115"/>
      <c r="B256" s="115"/>
      <c r="C256" s="115"/>
      <c r="D256" s="115"/>
      <c r="E256" s="115"/>
      <c r="F256" s="115"/>
      <c r="G256" s="115"/>
    </row>
    <row r="257" ht="15.75" customHeight="1">
      <c r="A257" s="115"/>
      <c r="B257" s="115"/>
      <c r="C257" s="115"/>
      <c r="D257" s="115"/>
      <c r="E257" s="115"/>
      <c r="F257" s="115"/>
      <c r="G257" s="115"/>
    </row>
    <row r="258" ht="15.75" customHeight="1">
      <c r="A258" s="115"/>
      <c r="B258" s="115"/>
      <c r="C258" s="115"/>
      <c r="D258" s="115"/>
      <c r="E258" s="115"/>
      <c r="F258" s="115"/>
      <c r="G258" s="115"/>
    </row>
    <row r="259" ht="15.75" customHeight="1">
      <c r="A259" s="115"/>
      <c r="B259" s="115"/>
      <c r="C259" s="115"/>
      <c r="D259" s="115"/>
      <c r="E259" s="115"/>
      <c r="F259" s="115"/>
      <c r="G259" s="115"/>
    </row>
    <row r="260" ht="15.75" customHeight="1">
      <c r="A260" s="115"/>
      <c r="B260" s="115"/>
      <c r="C260" s="115"/>
      <c r="D260" s="115"/>
      <c r="E260" s="115"/>
      <c r="F260" s="115"/>
      <c r="G260" s="115"/>
    </row>
    <row r="261" ht="15.75" customHeight="1">
      <c r="A261" s="115"/>
      <c r="B261" s="115"/>
      <c r="C261" s="115"/>
      <c r="D261" s="115"/>
      <c r="E261" s="115"/>
      <c r="F261" s="115"/>
      <c r="G261" s="115"/>
    </row>
    <row r="262" ht="15.75" customHeight="1">
      <c r="A262" s="115"/>
      <c r="B262" s="115"/>
      <c r="C262" s="115"/>
      <c r="D262" s="115"/>
      <c r="E262" s="115"/>
      <c r="F262" s="115"/>
      <c r="G262" s="115"/>
    </row>
    <row r="263" ht="15.75" customHeight="1">
      <c r="A263" s="115"/>
      <c r="B263" s="115"/>
      <c r="C263" s="115"/>
      <c r="D263" s="115"/>
      <c r="E263" s="115"/>
      <c r="F263" s="115"/>
      <c r="G263" s="115"/>
    </row>
    <row r="264" ht="15.75" customHeight="1">
      <c r="A264" s="115"/>
      <c r="B264" s="115"/>
      <c r="C264" s="115"/>
      <c r="D264" s="115"/>
      <c r="E264" s="115"/>
      <c r="F264" s="115"/>
      <c r="G264" s="115"/>
    </row>
    <row r="265" ht="15.75" customHeight="1">
      <c r="A265" s="115"/>
      <c r="B265" s="115"/>
      <c r="C265" s="115"/>
      <c r="D265" s="115"/>
      <c r="E265" s="115"/>
      <c r="F265" s="115"/>
      <c r="G265" s="115"/>
    </row>
    <row r="266" ht="15.75" customHeight="1">
      <c r="A266" s="115"/>
      <c r="B266" s="115"/>
      <c r="C266" s="115"/>
      <c r="D266" s="115"/>
      <c r="E266" s="115"/>
      <c r="F266" s="115"/>
      <c r="G266" s="115"/>
    </row>
    <row r="267" ht="15.75" customHeight="1">
      <c r="A267" s="115"/>
      <c r="B267" s="115"/>
      <c r="C267" s="115"/>
      <c r="D267" s="115"/>
      <c r="E267" s="115"/>
      <c r="F267" s="115"/>
      <c r="G267" s="115"/>
    </row>
    <row r="268" ht="15.75" customHeight="1">
      <c r="A268" s="115"/>
      <c r="B268" s="115"/>
      <c r="C268" s="115"/>
      <c r="D268" s="115"/>
      <c r="E268" s="115"/>
      <c r="F268" s="115"/>
      <c r="G268" s="115"/>
    </row>
    <row r="269" ht="15.75" customHeight="1">
      <c r="A269" s="115"/>
      <c r="B269" s="115"/>
      <c r="C269" s="115"/>
      <c r="D269" s="115"/>
      <c r="E269" s="115"/>
      <c r="F269" s="115"/>
      <c r="G269" s="115"/>
    </row>
    <row r="270" ht="15.75" customHeight="1">
      <c r="A270" s="115"/>
      <c r="B270" s="115"/>
      <c r="C270" s="115"/>
      <c r="D270" s="115"/>
      <c r="E270" s="115"/>
      <c r="F270" s="115"/>
      <c r="G270" s="115"/>
    </row>
    <row r="271" ht="15.75" customHeight="1">
      <c r="A271" s="115"/>
      <c r="B271" s="115"/>
      <c r="C271" s="115"/>
      <c r="D271" s="115"/>
      <c r="E271" s="115"/>
      <c r="F271" s="115"/>
      <c r="G271" s="115"/>
    </row>
    <row r="272" ht="15.75" customHeight="1">
      <c r="A272" s="115"/>
      <c r="B272" s="115"/>
      <c r="C272" s="115"/>
      <c r="D272" s="115"/>
      <c r="E272" s="115"/>
      <c r="F272" s="115"/>
      <c r="G272" s="115"/>
    </row>
    <row r="273" ht="15.75" customHeight="1">
      <c r="A273" s="115"/>
      <c r="B273" s="115"/>
      <c r="C273" s="115"/>
      <c r="D273" s="115"/>
      <c r="E273" s="115"/>
      <c r="F273" s="115"/>
      <c r="G273" s="115"/>
    </row>
    <row r="274" ht="15.75" customHeight="1">
      <c r="A274" s="115"/>
      <c r="B274" s="115"/>
      <c r="C274" s="115"/>
      <c r="D274" s="115"/>
      <c r="E274" s="115"/>
      <c r="F274" s="115"/>
      <c r="G274" s="115"/>
    </row>
    <row r="275" ht="15.75" customHeight="1">
      <c r="A275" s="115"/>
      <c r="B275" s="115"/>
      <c r="C275" s="115"/>
      <c r="D275" s="115"/>
      <c r="E275" s="115"/>
      <c r="F275" s="115"/>
      <c r="G275" s="115"/>
    </row>
    <row r="276" ht="15.75" customHeight="1">
      <c r="A276" s="115"/>
      <c r="B276" s="115"/>
      <c r="C276" s="115"/>
      <c r="D276" s="115"/>
      <c r="E276" s="115"/>
      <c r="F276" s="115"/>
      <c r="G276" s="115"/>
    </row>
    <row r="277" ht="15.75" customHeight="1">
      <c r="A277" s="115"/>
      <c r="B277" s="115"/>
      <c r="C277" s="115"/>
      <c r="D277" s="115"/>
      <c r="E277" s="115"/>
      <c r="F277" s="115"/>
      <c r="G277" s="115"/>
    </row>
    <row r="278" ht="15.75" customHeight="1">
      <c r="A278" s="115"/>
      <c r="B278" s="115"/>
      <c r="C278" s="115"/>
      <c r="D278" s="115"/>
      <c r="E278" s="115"/>
      <c r="F278" s="115"/>
      <c r="G278" s="115"/>
    </row>
    <row r="279" ht="15.75" customHeight="1">
      <c r="A279" s="115"/>
      <c r="B279" s="115"/>
      <c r="C279" s="115"/>
      <c r="D279" s="115"/>
      <c r="E279" s="115"/>
      <c r="F279" s="115"/>
      <c r="G279" s="115"/>
    </row>
    <row r="280" ht="15.75" customHeight="1">
      <c r="A280" s="115"/>
      <c r="B280" s="115"/>
      <c r="C280" s="115"/>
      <c r="D280" s="115"/>
      <c r="E280" s="115"/>
      <c r="F280" s="115"/>
      <c r="G280" s="115"/>
    </row>
    <row r="281" ht="15.75" customHeight="1">
      <c r="A281" s="115"/>
      <c r="B281" s="115"/>
      <c r="C281" s="115"/>
      <c r="D281" s="115"/>
      <c r="E281" s="115"/>
      <c r="F281" s="115"/>
      <c r="G281" s="115"/>
    </row>
    <row r="282" ht="15.75" customHeight="1">
      <c r="A282" s="115"/>
      <c r="B282" s="115"/>
      <c r="C282" s="115"/>
      <c r="D282" s="115"/>
      <c r="E282" s="115"/>
      <c r="F282" s="115"/>
      <c r="G282" s="115"/>
    </row>
    <row r="283" ht="15.75" customHeight="1">
      <c r="A283" s="115"/>
      <c r="B283" s="115"/>
      <c r="C283" s="115"/>
      <c r="D283" s="115"/>
      <c r="E283" s="115"/>
      <c r="F283" s="115"/>
      <c r="G283" s="115"/>
    </row>
    <row r="284" ht="15.75" customHeight="1">
      <c r="A284" s="115"/>
      <c r="B284" s="115"/>
      <c r="C284" s="115"/>
      <c r="D284" s="115"/>
      <c r="E284" s="115"/>
      <c r="F284" s="115"/>
      <c r="G284" s="115"/>
    </row>
    <row r="285" ht="15.75" customHeight="1">
      <c r="A285" s="115"/>
      <c r="B285" s="115"/>
      <c r="C285" s="115"/>
      <c r="D285" s="115"/>
      <c r="E285" s="115"/>
      <c r="F285" s="115"/>
      <c r="G285" s="115"/>
    </row>
    <row r="286" ht="15.75" customHeight="1">
      <c r="A286" s="115"/>
      <c r="B286" s="115"/>
      <c r="C286" s="115"/>
      <c r="D286" s="115"/>
      <c r="E286" s="115"/>
      <c r="F286" s="115"/>
      <c r="G286" s="115"/>
    </row>
    <row r="287" ht="15.75" customHeight="1">
      <c r="A287" s="115"/>
      <c r="B287" s="115"/>
      <c r="C287" s="115"/>
      <c r="D287" s="115"/>
      <c r="E287" s="115"/>
      <c r="F287" s="115"/>
      <c r="G287" s="115"/>
    </row>
    <row r="288" ht="15.75" customHeight="1">
      <c r="A288" s="115"/>
      <c r="B288" s="115"/>
      <c r="C288" s="115"/>
      <c r="D288" s="115"/>
      <c r="E288" s="115"/>
      <c r="F288" s="115"/>
      <c r="G288" s="115"/>
    </row>
    <row r="289" ht="15.75" customHeight="1">
      <c r="A289" s="115"/>
      <c r="B289" s="115"/>
      <c r="C289" s="115"/>
      <c r="D289" s="115"/>
      <c r="E289" s="115"/>
      <c r="F289" s="115"/>
      <c r="G289" s="115"/>
    </row>
    <row r="290" ht="15.75" customHeight="1">
      <c r="A290" s="115"/>
      <c r="B290" s="115"/>
      <c r="C290" s="115"/>
      <c r="D290" s="115"/>
      <c r="E290" s="115"/>
      <c r="F290" s="115"/>
      <c r="G290" s="115"/>
    </row>
    <row r="291" ht="15.75" customHeight="1">
      <c r="A291" s="115"/>
      <c r="B291" s="115"/>
      <c r="C291" s="115"/>
      <c r="D291" s="115"/>
      <c r="E291" s="115"/>
      <c r="F291" s="115"/>
      <c r="G291" s="115"/>
    </row>
    <row r="292" ht="15.75" customHeight="1">
      <c r="A292" s="115"/>
      <c r="B292" s="115"/>
      <c r="C292" s="115"/>
      <c r="D292" s="115"/>
      <c r="E292" s="115"/>
      <c r="F292" s="115"/>
      <c r="G292" s="115"/>
    </row>
    <row r="293" ht="15.75" customHeight="1">
      <c r="A293" s="115"/>
      <c r="B293" s="115"/>
      <c r="C293" s="115"/>
      <c r="D293" s="115"/>
      <c r="E293" s="115"/>
      <c r="F293" s="115"/>
      <c r="G293" s="115"/>
    </row>
    <row r="294" ht="15.75" customHeight="1">
      <c r="A294" s="115"/>
      <c r="B294" s="115"/>
      <c r="C294" s="115"/>
      <c r="D294" s="115"/>
      <c r="E294" s="115"/>
      <c r="F294" s="115"/>
      <c r="G294" s="115"/>
    </row>
    <row r="295" ht="15.75" customHeight="1">
      <c r="A295" s="115"/>
      <c r="B295" s="115"/>
      <c r="C295" s="115"/>
      <c r="D295" s="115"/>
      <c r="E295" s="115"/>
      <c r="F295" s="115"/>
      <c r="G295" s="115"/>
    </row>
    <row r="296" ht="15.75" customHeight="1">
      <c r="A296" s="115"/>
      <c r="B296" s="115"/>
      <c r="C296" s="115"/>
      <c r="D296" s="115"/>
      <c r="E296" s="115"/>
      <c r="F296" s="115"/>
      <c r="G296" s="115"/>
    </row>
    <row r="297" ht="15.75" customHeight="1">
      <c r="A297" s="115"/>
      <c r="B297" s="115"/>
      <c r="C297" s="115"/>
      <c r="D297" s="115"/>
      <c r="E297" s="115"/>
      <c r="F297" s="115"/>
      <c r="G297" s="115"/>
    </row>
    <row r="298" ht="15.75" customHeight="1">
      <c r="A298" s="115"/>
      <c r="B298" s="115"/>
      <c r="C298" s="115"/>
      <c r="D298" s="115"/>
      <c r="E298" s="115"/>
      <c r="F298" s="115"/>
      <c r="G298" s="115"/>
    </row>
    <row r="299" ht="15.75" customHeight="1">
      <c r="A299" s="115"/>
      <c r="B299" s="115"/>
      <c r="C299" s="115"/>
      <c r="D299" s="115"/>
      <c r="E299" s="115"/>
      <c r="F299" s="115"/>
      <c r="G299" s="115"/>
    </row>
    <row r="300" ht="15.75" customHeight="1">
      <c r="A300" s="115"/>
      <c r="B300" s="115"/>
      <c r="C300" s="115"/>
      <c r="D300" s="115"/>
      <c r="E300" s="115"/>
      <c r="F300" s="115"/>
      <c r="G300" s="115"/>
    </row>
    <row r="301" ht="15.75" customHeight="1">
      <c r="A301" s="115"/>
      <c r="B301" s="115"/>
      <c r="C301" s="115"/>
      <c r="D301" s="115"/>
      <c r="E301" s="115"/>
      <c r="F301" s="115"/>
      <c r="G301" s="115"/>
    </row>
    <row r="302" ht="15.75" customHeight="1">
      <c r="A302" s="115"/>
      <c r="B302" s="115"/>
      <c r="C302" s="115"/>
      <c r="D302" s="115"/>
      <c r="E302" s="115"/>
      <c r="F302" s="115"/>
      <c r="G302" s="115"/>
    </row>
    <row r="303" ht="15.75" customHeight="1">
      <c r="A303" s="115"/>
      <c r="B303" s="115"/>
      <c r="C303" s="115"/>
      <c r="D303" s="115"/>
      <c r="E303" s="115"/>
      <c r="F303" s="115"/>
      <c r="G303" s="115"/>
    </row>
    <row r="304" ht="15.75" customHeight="1">
      <c r="A304" s="115"/>
      <c r="B304" s="115"/>
      <c r="C304" s="115"/>
      <c r="D304" s="115"/>
      <c r="E304" s="115"/>
      <c r="F304" s="115"/>
      <c r="G304" s="115"/>
    </row>
    <row r="305" ht="15.75" customHeight="1">
      <c r="A305" s="115"/>
      <c r="B305" s="115"/>
      <c r="C305" s="115"/>
      <c r="D305" s="115"/>
      <c r="E305" s="115"/>
      <c r="F305" s="115"/>
      <c r="G305" s="115"/>
    </row>
    <row r="306" ht="15.75" customHeight="1">
      <c r="A306" s="115"/>
      <c r="B306" s="115"/>
      <c r="C306" s="115"/>
      <c r="D306" s="115"/>
      <c r="E306" s="115"/>
      <c r="F306" s="115"/>
      <c r="G306" s="115"/>
    </row>
    <row r="307" ht="15.75" customHeight="1">
      <c r="A307" s="115"/>
      <c r="B307" s="115"/>
      <c r="C307" s="115"/>
      <c r="D307" s="115"/>
      <c r="E307" s="115"/>
      <c r="F307" s="115"/>
      <c r="G307" s="115"/>
    </row>
    <row r="308" ht="15.75" customHeight="1">
      <c r="A308" s="115"/>
      <c r="B308" s="115"/>
      <c r="C308" s="115"/>
      <c r="D308" s="115"/>
      <c r="E308" s="115"/>
      <c r="F308" s="115"/>
      <c r="G308" s="115"/>
    </row>
    <row r="309" ht="15.75" customHeight="1">
      <c r="A309" s="115"/>
      <c r="B309" s="115"/>
      <c r="C309" s="115"/>
      <c r="D309" s="115"/>
      <c r="E309" s="115"/>
      <c r="F309" s="115"/>
      <c r="G309" s="115"/>
    </row>
    <row r="310" ht="15.75" customHeight="1">
      <c r="A310" s="115"/>
      <c r="B310" s="115"/>
      <c r="C310" s="115"/>
      <c r="D310" s="115"/>
      <c r="E310" s="115"/>
      <c r="F310" s="115"/>
      <c r="G310" s="115"/>
    </row>
    <row r="311" ht="15.75" customHeight="1">
      <c r="A311" s="115"/>
      <c r="B311" s="115"/>
      <c r="C311" s="115"/>
      <c r="D311" s="115"/>
      <c r="E311" s="115"/>
      <c r="F311" s="115"/>
      <c r="G311" s="115"/>
    </row>
    <row r="312" ht="15.75" customHeight="1">
      <c r="A312" s="115"/>
      <c r="B312" s="115"/>
      <c r="C312" s="115"/>
      <c r="D312" s="115"/>
      <c r="E312" s="115"/>
      <c r="F312" s="115"/>
      <c r="G312" s="115"/>
    </row>
    <row r="313" ht="15.75" customHeight="1">
      <c r="A313" s="115"/>
      <c r="B313" s="115"/>
      <c r="C313" s="115"/>
      <c r="D313" s="115"/>
      <c r="E313" s="115"/>
      <c r="F313" s="115"/>
      <c r="G313" s="115"/>
    </row>
    <row r="314" ht="15.75" customHeight="1">
      <c r="A314" s="115"/>
      <c r="B314" s="115"/>
      <c r="C314" s="115"/>
      <c r="D314" s="115"/>
      <c r="E314" s="115"/>
      <c r="F314" s="115"/>
      <c r="G314" s="115"/>
    </row>
    <row r="315" ht="15.75" customHeight="1">
      <c r="A315" s="115"/>
      <c r="B315" s="115"/>
      <c r="C315" s="115"/>
      <c r="D315" s="115"/>
      <c r="E315" s="115"/>
      <c r="F315" s="115"/>
      <c r="G315" s="115"/>
    </row>
    <row r="316" ht="15.75" customHeight="1">
      <c r="A316" s="115"/>
      <c r="B316" s="115"/>
      <c r="C316" s="115"/>
      <c r="D316" s="115"/>
      <c r="E316" s="115"/>
      <c r="F316" s="115"/>
      <c r="G316" s="115"/>
    </row>
    <row r="317" ht="15.75" customHeight="1">
      <c r="A317" s="115"/>
      <c r="B317" s="115"/>
      <c r="C317" s="115"/>
      <c r="D317" s="115"/>
      <c r="E317" s="115"/>
      <c r="F317" s="115"/>
      <c r="G317" s="115"/>
    </row>
    <row r="318" ht="15.75" customHeight="1">
      <c r="A318" s="115"/>
      <c r="B318" s="115"/>
      <c r="C318" s="115"/>
      <c r="D318" s="115"/>
      <c r="E318" s="115"/>
      <c r="F318" s="115"/>
      <c r="G318" s="115"/>
    </row>
    <row r="319" ht="15.75" customHeight="1">
      <c r="A319" s="115"/>
      <c r="B319" s="115"/>
      <c r="C319" s="115"/>
      <c r="D319" s="115"/>
      <c r="E319" s="115"/>
      <c r="F319" s="115"/>
      <c r="G319" s="115"/>
    </row>
    <row r="320" ht="15.75" customHeight="1">
      <c r="A320" s="115"/>
      <c r="B320" s="115"/>
      <c r="C320" s="115"/>
      <c r="D320" s="115"/>
      <c r="E320" s="115"/>
      <c r="F320" s="115"/>
      <c r="G320" s="115"/>
    </row>
    <row r="321" ht="15.75" customHeight="1">
      <c r="A321" s="115"/>
      <c r="B321" s="115"/>
      <c r="C321" s="115"/>
      <c r="D321" s="115"/>
      <c r="E321" s="115"/>
      <c r="F321" s="115"/>
      <c r="G321" s="115"/>
    </row>
    <row r="322" ht="15.75" customHeight="1">
      <c r="A322" s="115"/>
      <c r="B322" s="115"/>
      <c r="C322" s="115"/>
      <c r="D322" s="115"/>
      <c r="E322" s="115"/>
      <c r="F322" s="115"/>
      <c r="G322" s="115"/>
    </row>
    <row r="323" ht="15.75" customHeight="1">
      <c r="A323" s="115"/>
      <c r="B323" s="115"/>
      <c r="C323" s="115"/>
      <c r="D323" s="115"/>
      <c r="E323" s="115"/>
      <c r="F323" s="115"/>
      <c r="G323" s="115"/>
    </row>
    <row r="324" ht="15.75" customHeight="1">
      <c r="A324" s="115"/>
      <c r="B324" s="115"/>
      <c r="C324" s="115"/>
      <c r="D324" s="115"/>
      <c r="E324" s="115"/>
      <c r="F324" s="115"/>
      <c r="G324" s="115"/>
    </row>
    <row r="325" ht="15.75" customHeight="1">
      <c r="A325" s="115"/>
      <c r="B325" s="115"/>
      <c r="C325" s="115"/>
      <c r="D325" s="115"/>
      <c r="E325" s="115"/>
      <c r="F325" s="115"/>
      <c r="G325" s="115"/>
    </row>
    <row r="326" ht="15.75" customHeight="1">
      <c r="A326" s="115"/>
      <c r="B326" s="115"/>
      <c r="C326" s="115"/>
      <c r="D326" s="115"/>
      <c r="E326" s="115"/>
      <c r="F326" s="115"/>
      <c r="G326" s="115"/>
    </row>
    <row r="327" ht="15.75" customHeight="1">
      <c r="A327" s="115"/>
      <c r="B327" s="115"/>
      <c r="C327" s="115"/>
      <c r="D327" s="115"/>
      <c r="E327" s="115"/>
      <c r="F327" s="115"/>
      <c r="G327" s="115"/>
    </row>
    <row r="328" ht="15.75" customHeight="1">
      <c r="A328" s="115"/>
      <c r="B328" s="115"/>
      <c r="C328" s="115"/>
      <c r="D328" s="115"/>
      <c r="E328" s="115"/>
      <c r="F328" s="115"/>
      <c r="G328" s="115"/>
    </row>
    <row r="329" ht="15.75" customHeight="1">
      <c r="A329" s="115"/>
      <c r="B329" s="115"/>
      <c r="C329" s="115"/>
      <c r="D329" s="115"/>
      <c r="E329" s="115"/>
      <c r="F329" s="115"/>
      <c r="G329" s="115"/>
    </row>
    <row r="330" ht="15.75" customHeight="1">
      <c r="A330" s="115"/>
      <c r="B330" s="115"/>
      <c r="C330" s="115"/>
      <c r="D330" s="115"/>
      <c r="E330" s="115"/>
      <c r="F330" s="115"/>
      <c r="G330" s="115"/>
    </row>
    <row r="331" ht="15.75" customHeight="1">
      <c r="A331" s="115"/>
      <c r="B331" s="115"/>
      <c r="C331" s="115"/>
      <c r="D331" s="115"/>
      <c r="E331" s="115"/>
      <c r="F331" s="115"/>
      <c r="G331" s="115"/>
    </row>
    <row r="332" ht="15.75" customHeight="1">
      <c r="A332" s="115"/>
      <c r="B332" s="115"/>
      <c r="C332" s="115"/>
      <c r="D332" s="115"/>
      <c r="E332" s="115"/>
      <c r="F332" s="115"/>
      <c r="G332" s="115"/>
    </row>
    <row r="333" ht="15.75" customHeight="1">
      <c r="A333" s="115"/>
      <c r="B333" s="115"/>
      <c r="C333" s="115"/>
      <c r="D333" s="115"/>
      <c r="E333" s="115"/>
      <c r="F333" s="115"/>
      <c r="G333" s="115"/>
    </row>
    <row r="334" ht="15.75" customHeight="1">
      <c r="A334" s="115"/>
      <c r="B334" s="115"/>
      <c r="C334" s="115"/>
      <c r="D334" s="115"/>
      <c r="E334" s="115"/>
      <c r="F334" s="115"/>
      <c r="G334" s="115"/>
    </row>
    <row r="335" ht="15.75" customHeight="1">
      <c r="A335" s="115"/>
      <c r="B335" s="115"/>
      <c r="C335" s="115"/>
      <c r="D335" s="115"/>
      <c r="E335" s="115"/>
      <c r="F335" s="115"/>
      <c r="G335" s="115"/>
    </row>
    <row r="336" ht="15.75" customHeight="1">
      <c r="A336" s="115"/>
      <c r="B336" s="115"/>
      <c r="C336" s="115"/>
      <c r="D336" s="115"/>
      <c r="E336" s="115"/>
      <c r="F336" s="115"/>
      <c r="G336" s="115"/>
    </row>
    <row r="337" ht="15.75" customHeight="1">
      <c r="A337" s="115"/>
      <c r="B337" s="115"/>
      <c r="C337" s="115"/>
      <c r="D337" s="115"/>
      <c r="E337" s="115"/>
      <c r="F337" s="115"/>
      <c r="G337" s="115"/>
    </row>
    <row r="338" ht="15.75" customHeight="1">
      <c r="A338" s="115"/>
      <c r="B338" s="115"/>
      <c r="C338" s="115"/>
      <c r="D338" s="115"/>
      <c r="E338" s="115"/>
      <c r="F338" s="115"/>
      <c r="G338" s="115"/>
    </row>
    <row r="339" ht="15.75" customHeight="1">
      <c r="A339" s="115"/>
      <c r="B339" s="115"/>
      <c r="C339" s="115"/>
      <c r="D339" s="115"/>
      <c r="E339" s="115"/>
      <c r="F339" s="115"/>
      <c r="G339" s="115"/>
    </row>
    <row r="340" ht="15.75" customHeight="1">
      <c r="A340" s="115"/>
      <c r="B340" s="115"/>
      <c r="C340" s="115"/>
      <c r="D340" s="115"/>
      <c r="E340" s="115"/>
      <c r="F340" s="115"/>
      <c r="G340" s="115"/>
    </row>
    <row r="341" ht="15.75" customHeight="1">
      <c r="A341" s="115"/>
      <c r="B341" s="115"/>
      <c r="C341" s="115"/>
      <c r="D341" s="115"/>
      <c r="E341" s="115"/>
      <c r="F341" s="115"/>
      <c r="G341" s="115"/>
    </row>
    <row r="342" ht="15.75" customHeight="1">
      <c r="A342" s="115"/>
      <c r="B342" s="115"/>
      <c r="C342" s="115"/>
      <c r="D342" s="115"/>
      <c r="E342" s="115"/>
      <c r="F342" s="115"/>
      <c r="G342" s="115"/>
    </row>
    <row r="343" ht="15.75" customHeight="1">
      <c r="A343" s="115"/>
      <c r="B343" s="115"/>
      <c r="C343" s="115"/>
      <c r="D343" s="115"/>
      <c r="E343" s="115"/>
      <c r="F343" s="115"/>
      <c r="G343" s="115"/>
    </row>
    <row r="344" ht="15.75" customHeight="1">
      <c r="A344" s="115"/>
      <c r="B344" s="115"/>
      <c r="C344" s="115"/>
      <c r="D344" s="115"/>
      <c r="E344" s="115"/>
      <c r="F344" s="115"/>
      <c r="G344" s="115"/>
    </row>
    <row r="345" ht="15.75" customHeight="1">
      <c r="A345" s="115"/>
      <c r="B345" s="115"/>
      <c r="C345" s="115"/>
      <c r="D345" s="115"/>
      <c r="E345" s="115"/>
      <c r="F345" s="115"/>
      <c r="G345" s="115"/>
    </row>
    <row r="346" ht="15.75" customHeight="1">
      <c r="A346" s="115"/>
      <c r="B346" s="115"/>
      <c r="C346" s="115"/>
      <c r="D346" s="115"/>
      <c r="E346" s="115"/>
      <c r="F346" s="115"/>
      <c r="G346" s="115"/>
    </row>
    <row r="347" ht="15.75" customHeight="1">
      <c r="A347" s="115"/>
      <c r="B347" s="115"/>
      <c r="C347" s="115"/>
      <c r="D347" s="115"/>
      <c r="E347" s="115"/>
      <c r="F347" s="115"/>
      <c r="G347" s="115"/>
    </row>
    <row r="348" ht="15.75" customHeight="1">
      <c r="A348" s="115"/>
      <c r="B348" s="115"/>
      <c r="C348" s="115"/>
      <c r="D348" s="115"/>
      <c r="E348" s="115"/>
      <c r="F348" s="115"/>
      <c r="G348" s="115"/>
    </row>
    <row r="349" ht="15.75" customHeight="1">
      <c r="A349" s="115"/>
      <c r="B349" s="115"/>
      <c r="C349" s="115"/>
      <c r="D349" s="115"/>
      <c r="E349" s="115"/>
      <c r="F349" s="115"/>
      <c r="G349" s="115"/>
    </row>
    <row r="350" ht="15.75" customHeight="1">
      <c r="A350" s="115"/>
      <c r="B350" s="115"/>
      <c r="C350" s="115"/>
      <c r="D350" s="115"/>
      <c r="E350" s="115"/>
      <c r="F350" s="115"/>
      <c r="G350" s="115"/>
    </row>
    <row r="351" ht="15.75" customHeight="1">
      <c r="A351" s="115"/>
      <c r="B351" s="115"/>
      <c r="C351" s="115"/>
      <c r="D351" s="115"/>
      <c r="E351" s="115"/>
      <c r="F351" s="115"/>
      <c r="G351" s="115"/>
    </row>
    <row r="352" ht="15.75" customHeight="1">
      <c r="A352" s="115"/>
      <c r="B352" s="115"/>
      <c r="C352" s="115"/>
      <c r="D352" s="115"/>
      <c r="E352" s="115"/>
      <c r="F352" s="115"/>
      <c r="G352" s="115"/>
    </row>
    <row r="353" ht="15.75" customHeight="1">
      <c r="A353" s="115"/>
      <c r="B353" s="115"/>
      <c r="C353" s="115"/>
      <c r="D353" s="115"/>
      <c r="E353" s="115"/>
      <c r="F353" s="115"/>
      <c r="G353" s="115"/>
    </row>
    <row r="354" ht="15.75" customHeight="1">
      <c r="A354" s="115"/>
      <c r="B354" s="115"/>
      <c r="C354" s="115"/>
      <c r="D354" s="115"/>
      <c r="E354" s="115"/>
      <c r="F354" s="115"/>
      <c r="G354" s="115"/>
    </row>
    <row r="355" ht="15.75" customHeight="1">
      <c r="A355" s="115"/>
      <c r="B355" s="115"/>
      <c r="C355" s="115"/>
      <c r="D355" s="115"/>
      <c r="E355" s="115"/>
      <c r="F355" s="115"/>
      <c r="G355" s="115"/>
    </row>
    <row r="356" ht="15.75" customHeight="1">
      <c r="A356" s="115"/>
      <c r="B356" s="115"/>
      <c r="C356" s="115"/>
      <c r="D356" s="115"/>
      <c r="E356" s="115"/>
      <c r="F356" s="115"/>
      <c r="G356" s="115"/>
    </row>
    <row r="357" ht="15.75" customHeight="1">
      <c r="A357" s="115"/>
      <c r="B357" s="115"/>
      <c r="C357" s="115"/>
      <c r="D357" s="115"/>
      <c r="E357" s="115"/>
      <c r="F357" s="115"/>
      <c r="G357" s="115"/>
    </row>
    <row r="358" ht="15.75" customHeight="1">
      <c r="A358" s="115"/>
      <c r="B358" s="115"/>
      <c r="C358" s="115"/>
      <c r="D358" s="115"/>
      <c r="E358" s="115"/>
      <c r="F358" s="115"/>
      <c r="G358" s="115"/>
    </row>
    <row r="359" ht="15.75" customHeight="1">
      <c r="A359" s="115"/>
      <c r="B359" s="115"/>
      <c r="C359" s="115"/>
      <c r="D359" s="115"/>
      <c r="E359" s="115"/>
      <c r="F359" s="115"/>
      <c r="G359" s="115"/>
    </row>
    <row r="360" ht="15.75" customHeight="1">
      <c r="A360" s="115"/>
      <c r="B360" s="115"/>
      <c r="C360" s="115"/>
      <c r="D360" s="115"/>
      <c r="E360" s="115"/>
      <c r="F360" s="115"/>
      <c r="G360" s="115"/>
    </row>
    <row r="361" ht="15.75" customHeight="1">
      <c r="A361" s="115"/>
      <c r="B361" s="115"/>
      <c r="C361" s="115"/>
      <c r="D361" s="115"/>
      <c r="E361" s="115"/>
      <c r="F361" s="115"/>
      <c r="G361" s="115"/>
    </row>
    <row r="362" ht="15.75" customHeight="1">
      <c r="A362" s="115"/>
      <c r="B362" s="115"/>
      <c r="C362" s="115"/>
      <c r="D362" s="115"/>
      <c r="E362" s="115"/>
      <c r="F362" s="115"/>
      <c r="G362" s="115"/>
    </row>
    <row r="363" ht="15.75" customHeight="1">
      <c r="A363" s="115"/>
      <c r="B363" s="115"/>
      <c r="C363" s="115"/>
      <c r="D363" s="115"/>
      <c r="E363" s="115"/>
      <c r="F363" s="115"/>
      <c r="G363" s="115"/>
    </row>
    <row r="364" ht="15.75" customHeight="1">
      <c r="A364" s="115"/>
      <c r="B364" s="115"/>
      <c r="C364" s="115"/>
      <c r="D364" s="115"/>
      <c r="E364" s="115"/>
      <c r="F364" s="115"/>
      <c r="G364" s="115"/>
    </row>
    <row r="365" ht="15.75" customHeight="1">
      <c r="A365" s="115"/>
      <c r="B365" s="115"/>
      <c r="C365" s="115"/>
      <c r="D365" s="115"/>
      <c r="E365" s="115"/>
      <c r="F365" s="115"/>
      <c r="G365" s="115"/>
    </row>
    <row r="366" ht="15.75" customHeight="1">
      <c r="A366" s="115"/>
      <c r="B366" s="115"/>
      <c r="C366" s="115"/>
      <c r="D366" s="115"/>
      <c r="E366" s="115"/>
      <c r="F366" s="115"/>
      <c r="G366" s="115"/>
    </row>
    <row r="367" ht="15.75" customHeight="1">
      <c r="A367" s="115"/>
      <c r="B367" s="115"/>
      <c r="C367" s="115"/>
      <c r="D367" s="115"/>
      <c r="E367" s="115"/>
      <c r="F367" s="115"/>
      <c r="G367" s="115"/>
    </row>
    <row r="368" ht="15.75" customHeight="1">
      <c r="A368" s="115"/>
      <c r="B368" s="115"/>
      <c r="C368" s="115"/>
      <c r="D368" s="115"/>
      <c r="E368" s="115"/>
      <c r="F368" s="115"/>
      <c r="G368" s="115"/>
    </row>
    <row r="369" ht="15.75" customHeight="1">
      <c r="A369" s="115"/>
      <c r="B369" s="115"/>
      <c r="C369" s="115"/>
      <c r="D369" s="115"/>
      <c r="E369" s="115"/>
      <c r="F369" s="115"/>
      <c r="G369" s="115"/>
    </row>
    <row r="370" ht="15.75" customHeight="1">
      <c r="A370" s="115"/>
      <c r="B370" s="115"/>
      <c r="C370" s="115"/>
      <c r="D370" s="115"/>
      <c r="E370" s="115"/>
      <c r="F370" s="115"/>
      <c r="G370" s="115"/>
    </row>
    <row r="371" ht="15.75" customHeight="1">
      <c r="A371" s="115"/>
      <c r="B371" s="115"/>
      <c r="C371" s="115"/>
      <c r="D371" s="115"/>
      <c r="E371" s="115"/>
      <c r="F371" s="115"/>
      <c r="G371" s="115"/>
    </row>
    <row r="372" ht="15.75" customHeight="1">
      <c r="A372" s="115"/>
      <c r="B372" s="115"/>
      <c r="C372" s="115"/>
      <c r="D372" s="115"/>
      <c r="E372" s="115"/>
      <c r="F372" s="115"/>
      <c r="G372" s="115"/>
    </row>
    <row r="373" ht="15.75" customHeight="1">
      <c r="A373" s="115"/>
      <c r="B373" s="115"/>
      <c r="C373" s="115"/>
      <c r="D373" s="115"/>
      <c r="E373" s="115"/>
      <c r="F373" s="115"/>
      <c r="G373" s="115"/>
    </row>
    <row r="374" ht="15.75" customHeight="1">
      <c r="A374" s="115"/>
      <c r="B374" s="115"/>
      <c r="C374" s="115"/>
      <c r="D374" s="115"/>
      <c r="E374" s="115"/>
      <c r="F374" s="115"/>
      <c r="G374" s="115"/>
    </row>
    <row r="375" ht="15.75" customHeight="1">
      <c r="A375" s="115"/>
      <c r="B375" s="115"/>
      <c r="C375" s="115"/>
      <c r="D375" s="115"/>
      <c r="E375" s="115"/>
      <c r="F375" s="115"/>
      <c r="G375" s="115"/>
    </row>
    <row r="376" ht="15.75" customHeight="1">
      <c r="A376" s="115"/>
      <c r="B376" s="115"/>
      <c r="C376" s="115"/>
      <c r="D376" s="115"/>
      <c r="E376" s="115"/>
      <c r="F376" s="115"/>
      <c r="G376" s="115"/>
    </row>
    <row r="377" ht="15.75" customHeight="1">
      <c r="A377" s="115"/>
      <c r="B377" s="115"/>
      <c r="C377" s="115"/>
      <c r="D377" s="115"/>
      <c r="E377" s="115"/>
      <c r="F377" s="115"/>
      <c r="G377" s="115"/>
    </row>
    <row r="378" ht="15.75" customHeight="1">
      <c r="A378" s="115"/>
      <c r="B378" s="115"/>
      <c r="C378" s="115"/>
      <c r="D378" s="115"/>
      <c r="E378" s="115"/>
      <c r="F378" s="115"/>
      <c r="G378" s="115"/>
    </row>
    <row r="379" ht="15.75" customHeight="1">
      <c r="A379" s="115"/>
      <c r="B379" s="115"/>
      <c r="C379" s="115"/>
      <c r="D379" s="115"/>
      <c r="E379" s="115"/>
      <c r="F379" s="115"/>
      <c r="G379" s="115"/>
    </row>
    <row r="380" ht="15.75" customHeight="1">
      <c r="A380" s="115"/>
      <c r="B380" s="115"/>
      <c r="C380" s="115"/>
      <c r="D380" s="115"/>
      <c r="E380" s="115"/>
      <c r="F380" s="115"/>
      <c r="G380" s="115"/>
    </row>
    <row r="381" ht="15.75" customHeight="1">
      <c r="A381" s="115"/>
      <c r="B381" s="115"/>
      <c r="C381" s="115"/>
      <c r="D381" s="115"/>
      <c r="E381" s="115"/>
      <c r="F381" s="115"/>
      <c r="G381" s="115"/>
    </row>
    <row r="382" ht="15.75" customHeight="1">
      <c r="A382" s="115"/>
      <c r="B382" s="115"/>
      <c r="C382" s="115"/>
      <c r="D382" s="115"/>
      <c r="E382" s="115"/>
      <c r="F382" s="115"/>
      <c r="G382" s="115"/>
    </row>
    <row r="383" ht="15.75" customHeight="1">
      <c r="A383" s="115"/>
      <c r="B383" s="115"/>
      <c r="C383" s="115"/>
      <c r="D383" s="115"/>
      <c r="E383" s="115"/>
      <c r="F383" s="115"/>
      <c r="G383" s="115"/>
    </row>
    <row r="384" ht="15.75" customHeight="1">
      <c r="A384" s="115"/>
      <c r="B384" s="115"/>
      <c r="C384" s="115"/>
      <c r="D384" s="115"/>
      <c r="E384" s="115"/>
      <c r="F384" s="115"/>
      <c r="G384" s="115"/>
    </row>
    <row r="385" ht="15.75" customHeight="1">
      <c r="A385" s="115"/>
      <c r="B385" s="115"/>
      <c r="C385" s="115"/>
      <c r="D385" s="115"/>
      <c r="E385" s="115"/>
      <c r="F385" s="115"/>
      <c r="G385" s="115"/>
    </row>
    <row r="386" ht="15.75" customHeight="1">
      <c r="A386" s="115"/>
      <c r="B386" s="115"/>
      <c r="C386" s="115"/>
      <c r="D386" s="115"/>
      <c r="E386" s="115"/>
      <c r="F386" s="115"/>
      <c r="G386" s="115"/>
    </row>
    <row r="387" ht="15.75" customHeight="1">
      <c r="A387" s="115"/>
      <c r="B387" s="115"/>
      <c r="C387" s="115"/>
      <c r="D387" s="115"/>
      <c r="E387" s="115"/>
      <c r="F387" s="115"/>
      <c r="G387" s="115"/>
    </row>
    <row r="388" ht="15.75" customHeight="1">
      <c r="A388" s="115"/>
      <c r="B388" s="115"/>
      <c r="C388" s="115"/>
      <c r="D388" s="115"/>
      <c r="E388" s="115"/>
      <c r="F388" s="115"/>
      <c r="G388" s="115"/>
    </row>
    <row r="389" ht="15.75" customHeight="1">
      <c r="A389" s="115"/>
      <c r="B389" s="115"/>
      <c r="C389" s="115"/>
      <c r="D389" s="115"/>
      <c r="E389" s="115"/>
      <c r="F389" s="115"/>
      <c r="G389" s="115"/>
    </row>
    <row r="390" ht="15.75" customHeight="1">
      <c r="A390" s="115"/>
      <c r="B390" s="115"/>
      <c r="C390" s="115"/>
      <c r="D390" s="115"/>
      <c r="E390" s="115"/>
      <c r="F390" s="115"/>
      <c r="G390" s="115"/>
    </row>
    <row r="391" ht="15.75" customHeight="1">
      <c r="A391" s="115"/>
      <c r="B391" s="115"/>
      <c r="C391" s="115"/>
      <c r="D391" s="115"/>
      <c r="E391" s="115"/>
      <c r="F391" s="115"/>
      <c r="G391" s="115"/>
    </row>
    <row r="392" ht="15.75" customHeight="1">
      <c r="A392" s="115"/>
      <c r="B392" s="115"/>
      <c r="C392" s="115"/>
      <c r="D392" s="115"/>
      <c r="E392" s="115"/>
      <c r="F392" s="115"/>
      <c r="G392" s="115"/>
    </row>
    <row r="393" ht="15.75" customHeight="1">
      <c r="A393" s="115"/>
      <c r="B393" s="115"/>
      <c r="C393" s="115"/>
      <c r="D393" s="115"/>
      <c r="E393" s="115"/>
      <c r="F393" s="115"/>
      <c r="G393" s="115"/>
    </row>
    <row r="394" ht="15.75" customHeight="1">
      <c r="A394" s="115"/>
      <c r="B394" s="115"/>
      <c r="C394" s="115"/>
      <c r="D394" s="115"/>
      <c r="E394" s="115"/>
      <c r="F394" s="115"/>
      <c r="G394" s="115"/>
    </row>
    <row r="395" ht="15.75" customHeight="1">
      <c r="A395" s="115"/>
      <c r="B395" s="115"/>
      <c r="C395" s="115"/>
      <c r="D395" s="115"/>
      <c r="E395" s="115"/>
      <c r="F395" s="115"/>
      <c r="G395" s="115"/>
    </row>
    <row r="396" ht="15.75" customHeight="1">
      <c r="A396" s="115"/>
      <c r="B396" s="115"/>
      <c r="C396" s="115"/>
      <c r="D396" s="115"/>
      <c r="E396" s="115"/>
      <c r="F396" s="115"/>
      <c r="G396" s="115"/>
    </row>
    <row r="397" ht="15.75" customHeight="1">
      <c r="A397" s="115"/>
      <c r="B397" s="115"/>
      <c r="C397" s="115"/>
      <c r="D397" s="115"/>
      <c r="E397" s="115"/>
      <c r="F397" s="115"/>
      <c r="G397" s="115"/>
    </row>
    <row r="398" ht="15.75" customHeight="1">
      <c r="A398" s="115"/>
      <c r="B398" s="115"/>
      <c r="C398" s="115"/>
      <c r="D398" s="115"/>
      <c r="E398" s="115"/>
      <c r="F398" s="115"/>
      <c r="G398" s="115"/>
    </row>
    <row r="399" ht="15.75" customHeight="1">
      <c r="A399" s="115"/>
      <c r="B399" s="115"/>
      <c r="C399" s="115"/>
      <c r="D399" s="115"/>
      <c r="E399" s="115"/>
      <c r="F399" s="115"/>
      <c r="G399" s="115"/>
    </row>
    <row r="400" ht="15.75" customHeight="1">
      <c r="A400" s="115"/>
      <c r="B400" s="115"/>
      <c r="C400" s="115"/>
      <c r="D400" s="115"/>
      <c r="E400" s="115"/>
      <c r="F400" s="115"/>
      <c r="G400" s="115"/>
    </row>
    <row r="401" ht="15.75" customHeight="1">
      <c r="A401" s="115"/>
      <c r="B401" s="115"/>
      <c r="C401" s="115"/>
      <c r="D401" s="115"/>
      <c r="E401" s="115"/>
      <c r="F401" s="115"/>
      <c r="G401" s="115"/>
    </row>
    <row r="402" ht="15.75" customHeight="1">
      <c r="A402" s="115"/>
      <c r="B402" s="115"/>
      <c r="C402" s="115"/>
      <c r="D402" s="115"/>
      <c r="E402" s="115"/>
      <c r="F402" s="115"/>
      <c r="G402" s="115"/>
    </row>
    <row r="403" ht="15.75" customHeight="1">
      <c r="A403" s="115"/>
      <c r="B403" s="115"/>
      <c r="C403" s="115"/>
      <c r="D403" s="115"/>
      <c r="E403" s="115"/>
      <c r="F403" s="115"/>
      <c r="G403" s="115"/>
    </row>
    <row r="404" ht="15.75" customHeight="1">
      <c r="A404" s="115"/>
      <c r="B404" s="115"/>
      <c r="C404" s="115"/>
      <c r="D404" s="115"/>
      <c r="E404" s="115"/>
      <c r="F404" s="115"/>
      <c r="G404" s="115"/>
    </row>
    <row r="405" ht="15.75" customHeight="1">
      <c r="A405" s="115"/>
      <c r="B405" s="115"/>
      <c r="C405" s="115"/>
      <c r="D405" s="115"/>
      <c r="E405" s="115"/>
      <c r="F405" s="115"/>
      <c r="G405" s="115"/>
    </row>
    <row r="406" ht="15.75" customHeight="1">
      <c r="A406" s="115"/>
      <c r="B406" s="115"/>
      <c r="C406" s="115"/>
      <c r="D406" s="115"/>
      <c r="E406" s="115"/>
      <c r="F406" s="115"/>
      <c r="G406" s="115"/>
    </row>
    <row r="407" ht="15.75" customHeight="1">
      <c r="A407" s="115"/>
      <c r="B407" s="115"/>
      <c r="C407" s="115"/>
      <c r="D407" s="115"/>
      <c r="E407" s="115"/>
      <c r="F407" s="115"/>
      <c r="G407" s="115"/>
    </row>
    <row r="408" ht="15.75" customHeight="1">
      <c r="A408" s="115"/>
      <c r="B408" s="115"/>
      <c r="C408" s="115"/>
      <c r="D408" s="115"/>
      <c r="E408" s="115"/>
      <c r="F408" s="115"/>
      <c r="G408" s="115"/>
    </row>
    <row r="409" ht="15.75" customHeight="1">
      <c r="A409" s="115"/>
      <c r="B409" s="115"/>
      <c r="C409" s="115"/>
      <c r="D409" s="115"/>
      <c r="E409" s="115"/>
      <c r="F409" s="115"/>
      <c r="G409" s="115"/>
    </row>
    <row r="410" ht="15.75" customHeight="1">
      <c r="A410" s="115"/>
      <c r="B410" s="115"/>
      <c r="C410" s="115"/>
      <c r="D410" s="115"/>
      <c r="E410" s="115"/>
      <c r="F410" s="115"/>
      <c r="G410" s="115"/>
    </row>
    <row r="411" ht="15.75" customHeight="1">
      <c r="A411" s="115"/>
      <c r="B411" s="115"/>
      <c r="C411" s="115"/>
      <c r="D411" s="115"/>
      <c r="E411" s="115"/>
      <c r="F411" s="115"/>
      <c r="G411" s="115"/>
    </row>
    <row r="412" ht="15.75" customHeight="1">
      <c r="A412" s="115"/>
      <c r="B412" s="115"/>
      <c r="C412" s="115"/>
      <c r="D412" s="115"/>
      <c r="E412" s="115"/>
      <c r="F412" s="115"/>
      <c r="G412" s="115"/>
    </row>
    <row r="413" ht="15.75" customHeight="1">
      <c r="A413" s="115"/>
      <c r="B413" s="115"/>
      <c r="C413" s="115"/>
      <c r="D413" s="115"/>
      <c r="E413" s="115"/>
      <c r="F413" s="115"/>
      <c r="G413" s="115"/>
    </row>
    <row r="414" ht="15.75" customHeight="1">
      <c r="A414" s="115"/>
      <c r="B414" s="115"/>
      <c r="C414" s="115"/>
      <c r="D414" s="115"/>
      <c r="E414" s="115"/>
      <c r="F414" s="115"/>
      <c r="G414" s="115"/>
    </row>
    <row r="415" ht="15.75" customHeight="1">
      <c r="A415" s="115"/>
      <c r="B415" s="115"/>
      <c r="C415" s="115"/>
      <c r="D415" s="115"/>
      <c r="E415" s="115"/>
      <c r="F415" s="115"/>
      <c r="G415" s="115"/>
    </row>
    <row r="416" ht="15.75" customHeight="1">
      <c r="A416" s="115"/>
      <c r="B416" s="115"/>
      <c r="C416" s="115"/>
      <c r="D416" s="115"/>
      <c r="E416" s="115"/>
      <c r="F416" s="115"/>
      <c r="G416" s="115"/>
    </row>
    <row r="417" ht="15.75" customHeight="1">
      <c r="A417" s="115"/>
      <c r="B417" s="115"/>
      <c r="C417" s="115"/>
      <c r="D417" s="115"/>
      <c r="E417" s="115"/>
      <c r="F417" s="115"/>
      <c r="G417" s="115"/>
    </row>
    <row r="418" ht="15.75" customHeight="1">
      <c r="A418" s="115"/>
      <c r="B418" s="115"/>
      <c r="C418" s="115"/>
      <c r="D418" s="115"/>
      <c r="E418" s="115"/>
      <c r="F418" s="115"/>
      <c r="G418" s="115"/>
    </row>
    <row r="419" ht="15.75" customHeight="1">
      <c r="A419" s="115"/>
      <c r="B419" s="115"/>
      <c r="C419" s="115"/>
      <c r="D419" s="115"/>
      <c r="E419" s="115"/>
      <c r="F419" s="115"/>
      <c r="G419" s="115"/>
    </row>
    <row r="420" ht="15.75" customHeight="1">
      <c r="A420" s="115"/>
      <c r="B420" s="115"/>
      <c r="C420" s="115"/>
      <c r="D420" s="115"/>
      <c r="E420" s="115"/>
      <c r="F420" s="115"/>
      <c r="G420" s="115"/>
    </row>
    <row r="421" ht="15.75" customHeight="1">
      <c r="A421" s="115"/>
      <c r="B421" s="115"/>
      <c r="C421" s="115"/>
      <c r="D421" s="115"/>
      <c r="E421" s="115"/>
      <c r="F421" s="115"/>
      <c r="G421" s="115"/>
    </row>
    <row r="422" ht="15.75" customHeight="1">
      <c r="A422" s="115"/>
      <c r="B422" s="115"/>
      <c r="C422" s="115"/>
      <c r="D422" s="115"/>
      <c r="E422" s="115"/>
      <c r="F422" s="115"/>
      <c r="G422" s="115"/>
    </row>
    <row r="423" ht="15.75" customHeight="1">
      <c r="A423" s="115"/>
      <c r="B423" s="115"/>
      <c r="C423" s="115"/>
      <c r="D423" s="115"/>
      <c r="E423" s="115"/>
      <c r="F423" s="115"/>
      <c r="G423" s="115"/>
    </row>
    <row r="424" ht="15.75" customHeight="1">
      <c r="A424" s="115"/>
      <c r="B424" s="115"/>
      <c r="C424" s="115"/>
      <c r="D424" s="115"/>
      <c r="E424" s="115"/>
      <c r="F424" s="115"/>
      <c r="G424" s="115"/>
    </row>
    <row r="425" ht="15.75" customHeight="1">
      <c r="A425" s="115"/>
      <c r="B425" s="115"/>
      <c r="C425" s="115"/>
      <c r="D425" s="115"/>
      <c r="E425" s="115"/>
      <c r="F425" s="115"/>
      <c r="G425" s="115"/>
    </row>
    <row r="426" ht="15.75" customHeight="1">
      <c r="A426" s="115"/>
      <c r="B426" s="115"/>
      <c r="C426" s="115"/>
      <c r="D426" s="115"/>
      <c r="E426" s="115"/>
      <c r="F426" s="115"/>
      <c r="G426" s="115"/>
    </row>
    <row r="427" ht="15.75" customHeight="1">
      <c r="A427" s="115"/>
      <c r="B427" s="115"/>
      <c r="C427" s="115"/>
      <c r="D427" s="115"/>
      <c r="E427" s="115"/>
      <c r="F427" s="115"/>
      <c r="G427" s="115"/>
    </row>
    <row r="428" ht="15.75" customHeight="1">
      <c r="A428" s="115"/>
      <c r="B428" s="115"/>
      <c r="C428" s="115"/>
      <c r="D428" s="115"/>
      <c r="E428" s="115"/>
      <c r="F428" s="115"/>
      <c r="G428" s="115"/>
    </row>
    <row r="429" ht="15.75" customHeight="1">
      <c r="A429" s="115"/>
      <c r="B429" s="115"/>
      <c r="C429" s="115"/>
      <c r="D429" s="115"/>
      <c r="E429" s="115"/>
      <c r="F429" s="115"/>
      <c r="G429" s="115"/>
    </row>
    <row r="430" ht="15.75" customHeight="1">
      <c r="A430" s="115"/>
      <c r="B430" s="115"/>
      <c r="C430" s="115"/>
      <c r="D430" s="115"/>
      <c r="E430" s="115"/>
      <c r="F430" s="115"/>
      <c r="G430" s="115"/>
    </row>
    <row r="431" ht="15.75" customHeight="1">
      <c r="A431" s="115"/>
      <c r="B431" s="115"/>
      <c r="C431" s="115"/>
      <c r="D431" s="115"/>
      <c r="E431" s="115"/>
      <c r="F431" s="115"/>
      <c r="G431" s="115"/>
    </row>
    <row r="432" ht="15.75" customHeight="1">
      <c r="A432" s="115"/>
      <c r="B432" s="115"/>
      <c r="C432" s="115"/>
      <c r="D432" s="115"/>
      <c r="E432" s="115"/>
      <c r="F432" s="115"/>
      <c r="G432" s="115"/>
    </row>
    <row r="433" ht="15.75" customHeight="1">
      <c r="A433" s="115"/>
      <c r="B433" s="115"/>
      <c r="C433" s="115"/>
      <c r="D433" s="115"/>
      <c r="E433" s="115"/>
      <c r="F433" s="115"/>
      <c r="G433" s="115"/>
    </row>
    <row r="434" ht="15.75" customHeight="1">
      <c r="A434" s="115"/>
      <c r="B434" s="115"/>
      <c r="C434" s="115"/>
      <c r="D434" s="115"/>
      <c r="E434" s="115"/>
      <c r="F434" s="115"/>
      <c r="G434" s="115"/>
    </row>
    <row r="435" ht="15.75" customHeight="1">
      <c r="A435" s="115"/>
      <c r="B435" s="115"/>
      <c r="C435" s="115"/>
      <c r="D435" s="115"/>
      <c r="E435" s="115"/>
      <c r="F435" s="115"/>
      <c r="G435" s="115"/>
    </row>
    <row r="436" ht="15.75" customHeight="1">
      <c r="A436" s="115"/>
      <c r="B436" s="115"/>
      <c r="C436" s="115"/>
      <c r="D436" s="115"/>
      <c r="E436" s="115"/>
      <c r="F436" s="115"/>
      <c r="G436" s="115"/>
    </row>
    <row r="437" ht="15.75" customHeight="1">
      <c r="A437" s="115"/>
      <c r="B437" s="115"/>
      <c r="C437" s="115"/>
      <c r="D437" s="115"/>
      <c r="E437" s="115"/>
      <c r="F437" s="115"/>
      <c r="G437" s="115"/>
    </row>
    <row r="438" ht="15.75" customHeight="1">
      <c r="A438" s="115"/>
      <c r="B438" s="115"/>
      <c r="C438" s="115"/>
      <c r="D438" s="115"/>
      <c r="E438" s="115"/>
      <c r="F438" s="115"/>
      <c r="G438" s="115"/>
    </row>
    <row r="439" ht="15.75" customHeight="1">
      <c r="A439" s="115"/>
      <c r="B439" s="115"/>
      <c r="C439" s="115"/>
      <c r="D439" s="115"/>
      <c r="E439" s="115"/>
      <c r="F439" s="115"/>
      <c r="G439" s="115"/>
    </row>
    <row r="440" ht="15.75" customHeight="1">
      <c r="A440" s="115"/>
      <c r="B440" s="115"/>
      <c r="C440" s="115"/>
      <c r="D440" s="115"/>
      <c r="E440" s="115"/>
      <c r="F440" s="115"/>
      <c r="G440" s="115"/>
    </row>
    <row r="441" ht="15.75" customHeight="1">
      <c r="A441" s="115"/>
      <c r="B441" s="115"/>
      <c r="C441" s="115"/>
      <c r="D441" s="115"/>
      <c r="E441" s="115"/>
      <c r="F441" s="115"/>
      <c r="G441" s="115"/>
    </row>
    <row r="442" ht="15.75" customHeight="1">
      <c r="A442" s="115"/>
      <c r="B442" s="115"/>
      <c r="C442" s="115"/>
      <c r="D442" s="115"/>
      <c r="E442" s="115"/>
      <c r="F442" s="115"/>
      <c r="G442" s="115"/>
    </row>
    <row r="443" ht="15.75" customHeight="1">
      <c r="A443" s="115"/>
      <c r="B443" s="115"/>
      <c r="C443" s="115"/>
      <c r="D443" s="115"/>
      <c r="E443" s="115"/>
      <c r="F443" s="115"/>
      <c r="G443" s="115"/>
    </row>
    <row r="444" ht="15.75" customHeight="1">
      <c r="A444" s="115"/>
      <c r="B444" s="115"/>
      <c r="C444" s="115"/>
      <c r="D444" s="115"/>
      <c r="E444" s="115"/>
      <c r="F444" s="115"/>
      <c r="G444" s="115"/>
    </row>
    <row r="445" ht="15.75" customHeight="1">
      <c r="A445" s="115"/>
      <c r="B445" s="115"/>
      <c r="C445" s="115"/>
      <c r="D445" s="115"/>
      <c r="E445" s="115"/>
      <c r="F445" s="115"/>
      <c r="G445" s="115"/>
    </row>
    <row r="446" ht="15.75" customHeight="1">
      <c r="A446" s="115"/>
      <c r="B446" s="115"/>
      <c r="C446" s="115"/>
      <c r="D446" s="115"/>
      <c r="E446" s="115"/>
      <c r="F446" s="115"/>
      <c r="G446" s="115"/>
    </row>
    <row r="447" ht="15.75" customHeight="1">
      <c r="A447" s="115"/>
      <c r="B447" s="115"/>
      <c r="C447" s="115"/>
      <c r="D447" s="115"/>
      <c r="E447" s="115"/>
      <c r="F447" s="115"/>
      <c r="G447" s="115"/>
    </row>
    <row r="448" ht="15.75" customHeight="1">
      <c r="A448" s="115"/>
      <c r="B448" s="115"/>
      <c r="C448" s="115"/>
      <c r="D448" s="115"/>
      <c r="E448" s="115"/>
      <c r="F448" s="115"/>
      <c r="G448" s="115"/>
    </row>
    <row r="449" ht="15.75" customHeight="1">
      <c r="A449" s="115"/>
      <c r="B449" s="115"/>
      <c r="C449" s="115"/>
      <c r="D449" s="115"/>
      <c r="E449" s="115"/>
      <c r="F449" s="115"/>
      <c r="G449" s="115"/>
    </row>
    <row r="450" ht="15.75" customHeight="1">
      <c r="A450" s="115"/>
      <c r="B450" s="115"/>
      <c r="C450" s="115"/>
      <c r="D450" s="115"/>
      <c r="E450" s="115"/>
      <c r="F450" s="115"/>
      <c r="G450" s="115"/>
    </row>
    <row r="451" ht="15.75" customHeight="1">
      <c r="A451" s="115"/>
      <c r="B451" s="115"/>
      <c r="C451" s="115"/>
      <c r="D451" s="115"/>
      <c r="E451" s="115"/>
      <c r="F451" s="115"/>
      <c r="G451" s="115"/>
    </row>
    <row r="452" ht="15.75" customHeight="1">
      <c r="A452" s="115"/>
      <c r="B452" s="115"/>
      <c r="C452" s="115"/>
      <c r="D452" s="115"/>
      <c r="E452" s="115"/>
      <c r="F452" s="115"/>
      <c r="G452" s="115"/>
    </row>
    <row r="453" ht="15.75" customHeight="1">
      <c r="A453" s="115"/>
      <c r="B453" s="115"/>
      <c r="C453" s="115"/>
      <c r="D453" s="115"/>
      <c r="E453" s="115"/>
      <c r="F453" s="115"/>
      <c r="G453" s="115"/>
    </row>
    <row r="454" ht="15.75" customHeight="1">
      <c r="A454" s="115"/>
      <c r="B454" s="115"/>
      <c r="C454" s="115"/>
      <c r="D454" s="115"/>
      <c r="E454" s="115"/>
      <c r="F454" s="115"/>
      <c r="G454" s="115"/>
    </row>
    <row r="455" ht="15.75" customHeight="1">
      <c r="A455" s="115"/>
      <c r="B455" s="115"/>
      <c r="C455" s="115"/>
      <c r="D455" s="115"/>
      <c r="E455" s="115"/>
      <c r="F455" s="115"/>
      <c r="G455" s="115"/>
    </row>
    <row r="456" ht="15.75" customHeight="1">
      <c r="A456" s="115"/>
      <c r="B456" s="115"/>
      <c r="C456" s="115"/>
      <c r="D456" s="115"/>
      <c r="E456" s="115"/>
      <c r="F456" s="115"/>
      <c r="G456" s="115"/>
    </row>
    <row r="457" ht="15.75" customHeight="1">
      <c r="A457" s="115"/>
      <c r="B457" s="115"/>
      <c r="C457" s="115"/>
      <c r="D457" s="115"/>
      <c r="E457" s="115"/>
      <c r="F457" s="115"/>
      <c r="G457" s="115"/>
    </row>
    <row r="458" ht="15.75" customHeight="1">
      <c r="A458" s="115"/>
      <c r="B458" s="115"/>
      <c r="C458" s="115"/>
      <c r="D458" s="115"/>
      <c r="E458" s="115"/>
      <c r="F458" s="115"/>
      <c r="G458" s="115"/>
    </row>
    <row r="459" ht="15.75" customHeight="1">
      <c r="A459" s="115"/>
      <c r="B459" s="115"/>
      <c r="C459" s="115"/>
      <c r="D459" s="115"/>
      <c r="E459" s="115"/>
      <c r="F459" s="115"/>
      <c r="G459" s="115"/>
    </row>
    <row r="460" ht="15.75" customHeight="1">
      <c r="A460" s="115"/>
      <c r="B460" s="115"/>
      <c r="C460" s="115"/>
      <c r="D460" s="115"/>
      <c r="E460" s="115"/>
      <c r="F460" s="115"/>
      <c r="G460" s="115"/>
    </row>
    <row r="461" ht="15.75" customHeight="1">
      <c r="A461" s="115"/>
      <c r="B461" s="115"/>
      <c r="C461" s="115"/>
      <c r="D461" s="115"/>
      <c r="E461" s="115"/>
      <c r="F461" s="115"/>
      <c r="G461" s="115"/>
    </row>
    <row r="462" ht="15.75" customHeight="1">
      <c r="A462" s="115"/>
      <c r="B462" s="115"/>
      <c r="C462" s="115"/>
      <c r="D462" s="115"/>
      <c r="E462" s="115"/>
      <c r="F462" s="115"/>
      <c r="G462" s="115"/>
    </row>
    <row r="463" ht="15.75" customHeight="1">
      <c r="A463" s="115"/>
      <c r="B463" s="115"/>
      <c r="C463" s="115"/>
      <c r="D463" s="115"/>
      <c r="E463" s="115"/>
      <c r="F463" s="115"/>
      <c r="G463" s="115"/>
    </row>
    <row r="464" ht="15.75" customHeight="1">
      <c r="A464" s="115"/>
      <c r="B464" s="115"/>
      <c r="C464" s="115"/>
      <c r="D464" s="115"/>
      <c r="E464" s="115"/>
      <c r="F464" s="115"/>
      <c r="G464" s="115"/>
    </row>
    <row r="465" ht="15.75" customHeight="1">
      <c r="A465" s="115"/>
      <c r="B465" s="115"/>
      <c r="C465" s="115"/>
      <c r="D465" s="115"/>
      <c r="E465" s="115"/>
      <c r="F465" s="115"/>
      <c r="G465" s="115"/>
    </row>
    <row r="466" ht="15.75" customHeight="1">
      <c r="A466" s="115"/>
      <c r="B466" s="115"/>
      <c r="C466" s="115"/>
      <c r="D466" s="115"/>
      <c r="E466" s="115"/>
      <c r="F466" s="115"/>
      <c r="G466" s="115"/>
    </row>
    <row r="467" ht="15.75" customHeight="1">
      <c r="A467" s="115"/>
      <c r="B467" s="115"/>
      <c r="C467" s="115"/>
      <c r="D467" s="115"/>
      <c r="E467" s="115"/>
      <c r="F467" s="115"/>
      <c r="G467" s="115"/>
    </row>
    <row r="468" ht="15.75" customHeight="1">
      <c r="A468" s="115"/>
      <c r="B468" s="115"/>
      <c r="C468" s="115"/>
      <c r="D468" s="115"/>
      <c r="E468" s="115"/>
      <c r="F468" s="115"/>
      <c r="G468" s="115"/>
    </row>
    <row r="469" ht="15.75" customHeight="1">
      <c r="A469" s="115"/>
      <c r="B469" s="115"/>
      <c r="C469" s="115"/>
      <c r="D469" s="115"/>
      <c r="E469" s="115"/>
      <c r="F469" s="115"/>
      <c r="G469" s="115"/>
    </row>
    <row r="470" ht="15.75" customHeight="1">
      <c r="A470" s="115"/>
      <c r="B470" s="115"/>
      <c r="C470" s="115"/>
      <c r="D470" s="115"/>
      <c r="E470" s="115"/>
      <c r="F470" s="115"/>
      <c r="G470" s="115"/>
    </row>
    <row r="471" ht="15.75" customHeight="1">
      <c r="A471" s="115"/>
      <c r="B471" s="115"/>
      <c r="C471" s="115"/>
      <c r="D471" s="115"/>
      <c r="E471" s="115"/>
      <c r="F471" s="115"/>
      <c r="G471" s="115"/>
    </row>
    <row r="472" ht="15.75" customHeight="1">
      <c r="A472" s="115"/>
      <c r="B472" s="115"/>
      <c r="C472" s="115"/>
      <c r="D472" s="115"/>
      <c r="E472" s="115"/>
      <c r="F472" s="115"/>
      <c r="G472" s="115"/>
    </row>
    <row r="473" ht="15.75" customHeight="1">
      <c r="A473" s="115"/>
      <c r="B473" s="115"/>
      <c r="C473" s="115"/>
      <c r="D473" s="115"/>
      <c r="E473" s="115"/>
      <c r="F473" s="115"/>
      <c r="G473" s="115"/>
    </row>
    <row r="474" ht="15.75" customHeight="1">
      <c r="A474" s="115"/>
      <c r="B474" s="115"/>
      <c r="C474" s="115"/>
      <c r="D474" s="115"/>
      <c r="E474" s="115"/>
      <c r="F474" s="115"/>
      <c r="G474" s="115"/>
    </row>
    <row r="475" ht="15.75" customHeight="1">
      <c r="A475" s="115"/>
      <c r="B475" s="115"/>
      <c r="C475" s="115"/>
      <c r="D475" s="115"/>
      <c r="E475" s="115"/>
      <c r="F475" s="115"/>
      <c r="G475" s="115"/>
    </row>
    <row r="476" ht="15.75" customHeight="1">
      <c r="A476" s="115"/>
      <c r="B476" s="115"/>
      <c r="C476" s="115"/>
      <c r="D476" s="115"/>
      <c r="E476" s="115"/>
      <c r="F476" s="115"/>
      <c r="G476" s="115"/>
    </row>
    <row r="477" ht="15.75" customHeight="1">
      <c r="A477" s="115"/>
      <c r="B477" s="115"/>
      <c r="C477" s="115"/>
      <c r="D477" s="115"/>
      <c r="E477" s="115"/>
      <c r="F477" s="115"/>
      <c r="G477" s="115"/>
    </row>
    <row r="478" ht="15.75" customHeight="1">
      <c r="A478" s="115"/>
      <c r="B478" s="115"/>
      <c r="C478" s="115"/>
      <c r="D478" s="115"/>
      <c r="E478" s="115"/>
      <c r="F478" s="115"/>
      <c r="G478" s="115"/>
    </row>
    <row r="479" ht="15.75" customHeight="1">
      <c r="A479" s="115"/>
      <c r="B479" s="115"/>
      <c r="C479" s="115"/>
      <c r="D479" s="115"/>
      <c r="E479" s="115"/>
      <c r="F479" s="115"/>
      <c r="G479" s="115"/>
    </row>
    <row r="480" ht="15.75" customHeight="1">
      <c r="A480" s="115"/>
      <c r="B480" s="115"/>
      <c r="C480" s="115"/>
      <c r="D480" s="115"/>
      <c r="E480" s="115"/>
      <c r="F480" s="115"/>
      <c r="G480" s="115"/>
    </row>
    <row r="481" ht="15.75" customHeight="1">
      <c r="A481" s="115"/>
      <c r="B481" s="115"/>
      <c r="C481" s="115"/>
      <c r="D481" s="115"/>
      <c r="E481" s="115"/>
      <c r="F481" s="115"/>
      <c r="G481" s="115"/>
    </row>
    <row r="482" ht="15.75" customHeight="1">
      <c r="A482" s="115"/>
      <c r="B482" s="115"/>
      <c r="C482" s="115"/>
      <c r="D482" s="115"/>
      <c r="E482" s="115"/>
      <c r="F482" s="115"/>
      <c r="G482" s="115"/>
    </row>
    <row r="483" ht="15.75" customHeight="1">
      <c r="A483" s="115"/>
      <c r="B483" s="115"/>
      <c r="C483" s="115"/>
      <c r="D483" s="115"/>
      <c r="E483" s="115"/>
      <c r="F483" s="115"/>
      <c r="G483" s="115"/>
    </row>
    <row r="484" ht="15.75" customHeight="1">
      <c r="A484" s="115"/>
      <c r="B484" s="115"/>
      <c r="C484" s="115"/>
      <c r="D484" s="115"/>
      <c r="E484" s="115"/>
      <c r="F484" s="115"/>
      <c r="G484" s="115"/>
    </row>
    <row r="485" ht="15.75" customHeight="1">
      <c r="A485" s="115"/>
      <c r="B485" s="115"/>
      <c r="C485" s="115"/>
      <c r="D485" s="115"/>
      <c r="E485" s="115"/>
      <c r="F485" s="115"/>
      <c r="G485" s="115"/>
    </row>
    <row r="486" ht="15.75" customHeight="1">
      <c r="A486" s="115"/>
      <c r="B486" s="115"/>
      <c r="C486" s="115"/>
      <c r="D486" s="115"/>
      <c r="E486" s="115"/>
      <c r="F486" s="115"/>
      <c r="G486" s="115"/>
    </row>
    <row r="487" ht="15.75" customHeight="1">
      <c r="A487" s="115"/>
      <c r="B487" s="115"/>
      <c r="C487" s="115"/>
      <c r="D487" s="115"/>
      <c r="E487" s="115"/>
      <c r="F487" s="115"/>
      <c r="G487" s="115"/>
    </row>
    <row r="488" ht="15.75" customHeight="1">
      <c r="A488" s="115"/>
      <c r="B488" s="115"/>
      <c r="C488" s="115"/>
      <c r="D488" s="115"/>
      <c r="E488" s="115"/>
      <c r="F488" s="115"/>
      <c r="G488" s="115"/>
    </row>
    <row r="489" ht="15.75" customHeight="1">
      <c r="A489" s="115"/>
      <c r="B489" s="115"/>
      <c r="C489" s="115"/>
      <c r="D489" s="115"/>
      <c r="E489" s="115"/>
      <c r="F489" s="115"/>
      <c r="G489" s="115"/>
    </row>
    <row r="490" ht="15.75" customHeight="1">
      <c r="A490" s="115"/>
      <c r="B490" s="115"/>
      <c r="C490" s="115"/>
      <c r="D490" s="115"/>
      <c r="E490" s="115"/>
      <c r="F490" s="115"/>
      <c r="G490" s="115"/>
    </row>
    <row r="491" ht="15.75" customHeight="1">
      <c r="A491" s="115"/>
      <c r="B491" s="115"/>
      <c r="C491" s="115"/>
      <c r="D491" s="115"/>
      <c r="E491" s="115"/>
      <c r="F491" s="115"/>
      <c r="G491" s="115"/>
    </row>
    <row r="492" ht="15.75" customHeight="1">
      <c r="A492" s="115"/>
      <c r="B492" s="115"/>
      <c r="C492" s="115"/>
      <c r="D492" s="115"/>
      <c r="E492" s="115"/>
      <c r="F492" s="115"/>
      <c r="G492" s="115"/>
    </row>
    <row r="493" ht="15.75" customHeight="1">
      <c r="A493" s="115"/>
      <c r="B493" s="115"/>
      <c r="C493" s="115"/>
      <c r="D493" s="115"/>
      <c r="E493" s="115"/>
      <c r="F493" s="115"/>
      <c r="G493" s="115"/>
    </row>
    <row r="494" ht="15.75" customHeight="1">
      <c r="A494" s="115"/>
      <c r="B494" s="115"/>
      <c r="C494" s="115"/>
      <c r="D494" s="115"/>
      <c r="E494" s="115"/>
      <c r="F494" s="115"/>
      <c r="G494" s="115"/>
    </row>
    <row r="495" ht="15.75" customHeight="1">
      <c r="A495" s="115"/>
      <c r="B495" s="115"/>
      <c r="C495" s="115"/>
      <c r="D495" s="115"/>
      <c r="E495" s="115"/>
      <c r="F495" s="115"/>
      <c r="G495" s="115"/>
    </row>
    <row r="496" ht="15.75" customHeight="1">
      <c r="A496" s="115"/>
      <c r="B496" s="115"/>
      <c r="C496" s="115"/>
      <c r="D496" s="115"/>
      <c r="E496" s="115"/>
      <c r="F496" s="115"/>
      <c r="G496" s="115"/>
    </row>
    <row r="497" ht="15.75" customHeight="1">
      <c r="A497" s="115"/>
      <c r="B497" s="115"/>
      <c r="C497" s="115"/>
      <c r="D497" s="115"/>
      <c r="E497" s="115"/>
      <c r="F497" s="115"/>
      <c r="G497" s="115"/>
    </row>
    <row r="498" ht="15.75" customHeight="1">
      <c r="A498" s="115"/>
      <c r="B498" s="115"/>
      <c r="C498" s="115"/>
      <c r="D498" s="115"/>
      <c r="E498" s="115"/>
      <c r="F498" s="115"/>
      <c r="G498" s="115"/>
    </row>
    <row r="499" ht="15.75" customHeight="1">
      <c r="A499" s="115"/>
      <c r="B499" s="115"/>
      <c r="C499" s="115"/>
      <c r="D499" s="115"/>
      <c r="E499" s="115"/>
      <c r="F499" s="115"/>
      <c r="G499" s="115"/>
    </row>
    <row r="500" ht="15.75" customHeight="1">
      <c r="A500" s="115"/>
      <c r="B500" s="115"/>
      <c r="C500" s="115"/>
      <c r="D500" s="115"/>
      <c r="E500" s="115"/>
      <c r="F500" s="115"/>
      <c r="G500" s="115"/>
    </row>
    <row r="501" ht="15.75" customHeight="1">
      <c r="A501" s="115"/>
      <c r="B501" s="115"/>
      <c r="C501" s="115"/>
      <c r="D501" s="115"/>
      <c r="E501" s="115"/>
      <c r="F501" s="115"/>
      <c r="G501" s="115"/>
    </row>
    <row r="502" ht="15.75" customHeight="1">
      <c r="A502" s="115"/>
      <c r="B502" s="115"/>
      <c r="C502" s="115"/>
      <c r="D502" s="115"/>
      <c r="E502" s="115"/>
      <c r="F502" s="115"/>
      <c r="G502" s="115"/>
    </row>
    <row r="503" ht="15.75" customHeight="1">
      <c r="A503" s="115"/>
      <c r="B503" s="115"/>
      <c r="C503" s="115"/>
      <c r="D503" s="115"/>
      <c r="E503" s="115"/>
      <c r="F503" s="115"/>
      <c r="G503" s="115"/>
    </row>
    <row r="504" ht="15.75" customHeight="1">
      <c r="A504" s="115"/>
      <c r="B504" s="115"/>
      <c r="C504" s="115"/>
      <c r="D504" s="115"/>
      <c r="E504" s="115"/>
      <c r="F504" s="115"/>
      <c r="G504" s="115"/>
    </row>
    <row r="505" ht="15.75" customHeight="1">
      <c r="A505" s="115"/>
      <c r="B505" s="115"/>
      <c r="C505" s="115"/>
      <c r="D505" s="115"/>
      <c r="E505" s="115"/>
      <c r="F505" s="115"/>
      <c r="G505" s="115"/>
    </row>
    <row r="506" ht="15.75" customHeight="1">
      <c r="A506" s="115"/>
      <c r="B506" s="115"/>
      <c r="C506" s="115"/>
      <c r="D506" s="115"/>
      <c r="E506" s="115"/>
      <c r="F506" s="115"/>
      <c r="G506" s="115"/>
    </row>
    <row r="507" ht="15.75" customHeight="1">
      <c r="A507" s="115"/>
      <c r="B507" s="115"/>
      <c r="C507" s="115"/>
      <c r="D507" s="115"/>
      <c r="E507" s="115"/>
      <c r="F507" s="115"/>
      <c r="G507" s="115"/>
    </row>
    <row r="508" ht="15.75" customHeight="1">
      <c r="A508" s="115"/>
      <c r="B508" s="115"/>
      <c r="C508" s="115"/>
      <c r="D508" s="115"/>
      <c r="E508" s="115"/>
      <c r="F508" s="115"/>
      <c r="G508" s="115"/>
    </row>
    <row r="509" ht="15.75" customHeight="1">
      <c r="A509" s="115"/>
      <c r="B509" s="115"/>
      <c r="C509" s="115"/>
      <c r="D509" s="115"/>
      <c r="E509" s="115"/>
      <c r="F509" s="115"/>
      <c r="G509" s="115"/>
    </row>
    <row r="510" ht="15.75" customHeight="1">
      <c r="A510" s="115"/>
      <c r="B510" s="115"/>
      <c r="C510" s="115"/>
      <c r="D510" s="115"/>
      <c r="E510" s="115"/>
      <c r="F510" s="115"/>
      <c r="G510" s="115"/>
    </row>
    <row r="511" ht="15.75" customHeight="1">
      <c r="A511" s="115"/>
      <c r="B511" s="115"/>
      <c r="C511" s="115"/>
      <c r="D511" s="115"/>
      <c r="E511" s="115"/>
      <c r="F511" s="115"/>
      <c r="G511" s="115"/>
    </row>
    <row r="512" ht="15.75" customHeight="1">
      <c r="A512" s="115"/>
      <c r="B512" s="115"/>
      <c r="C512" s="115"/>
      <c r="D512" s="115"/>
      <c r="E512" s="115"/>
      <c r="F512" s="115"/>
      <c r="G512" s="115"/>
    </row>
    <row r="513" ht="15.75" customHeight="1">
      <c r="A513" s="115"/>
      <c r="B513" s="115"/>
      <c r="C513" s="115"/>
      <c r="D513" s="115"/>
      <c r="E513" s="115"/>
      <c r="F513" s="115"/>
      <c r="G513" s="115"/>
    </row>
    <row r="514" ht="15.75" customHeight="1">
      <c r="A514" s="115"/>
      <c r="B514" s="115"/>
      <c r="C514" s="115"/>
      <c r="D514" s="115"/>
      <c r="E514" s="115"/>
      <c r="F514" s="115"/>
      <c r="G514" s="115"/>
    </row>
    <row r="515" ht="15.75" customHeight="1">
      <c r="A515" s="115"/>
      <c r="B515" s="115"/>
      <c r="C515" s="115"/>
      <c r="D515" s="115"/>
      <c r="E515" s="115"/>
      <c r="F515" s="115"/>
      <c r="G515" s="115"/>
    </row>
    <row r="516" ht="15.75" customHeight="1">
      <c r="A516" s="115"/>
      <c r="B516" s="115"/>
      <c r="C516" s="115"/>
      <c r="D516" s="115"/>
      <c r="E516" s="115"/>
      <c r="F516" s="115"/>
      <c r="G516" s="115"/>
    </row>
    <row r="517" ht="15.75" customHeight="1">
      <c r="A517" s="115"/>
      <c r="B517" s="115"/>
      <c r="C517" s="115"/>
      <c r="D517" s="115"/>
      <c r="E517" s="115"/>
      <c r="F517" s="115"/>
      <c r="G517" s="115"/>
    </row>
    <row r="518" ht="15.75" customHeight="1">
      <c r="A518" s="115"/>
      <c r="B518" s="115"/>
      <c r="C518" s="115"/>
      <c r="D518" s="115"/>
      <c r="E518" s="115"/>
      <c r="F518" s="115"/>
      <c r="G518" s="115"/>
    </row>
    <row r="519" ht="15.75" customHeight="1">
      <c r="A519" s="115"/>
      <c r="B519" s="115"/>
      <c r="C519" s="115"/>
      <c r="D519" s="115"/>
      <c r="E519" s="115"/>
      <c r="F519" s="115"/>
      <c r="G519" s="115"/>
    </row>
    <row r="520" ht="15.75" customHeight="1">
      <c r="A520" s="115"/>
      <c r="B520" s="115"/>
      <c r="C520" s="115"/>
      <c r="D520" s="115"/>
      <c r="E520" s="115"/>
      <c r="F520" s="115"/>
      <c r="G520" s="115"/>
    </row>
    <row r="521" ht="15.75" customHeight="1">
      <c r="A521" s="115"/>
      <c r="B521" s="115"/>
      <c r="C521" s="115"/>
      <c r="D521" s="115"/>
      <c r="E521" s="115"/>
      <c r="F521" s="115"/>
      <c r="G521" s="115"/>
    </row>
    <row r="522" ht="15.75" customHeight="1">
      <c r="A522" s="115"/>
      <c r="B522" s="115"/>
      <c r="C522" s="115"/>
      <c r="D522" s="115"/>
      <c r="E522" s="115"/>
      <c r="F522" s="115"/>
      <c r="G522" s="115"/>
    </row>
    <row r="523" ht="15.75" customHeight="1">
      <c r="A523" s="115"/>
      <c r="B523" s="115"/>
      <c r="C523" s="115"/>
      <c r="D523" s="115"/>
      <c r="E523" s="115"/>
      <c r="F523" s="115"/>
      <c r="G523" s="115"/>
    </row>
    <row r="524" ht="15.75" customHeight="1">
      <c r="A524" s="115"/>
      <c r="B524" s="115"/>
      <c r="C524" s="115"/>
      <c r="D524" s="115"/>
      <c r="E524" s="115"/>
      <c r="F524" s="115"/>
      <c r="G524" s="115"/>
    </row>
    <row r="525" ht="15.75" customHeight="1">
      <c r="A525" s="115"/>
      <c r="B525" s="115"/>
      <c r="C525" s="115"/>
      <c r="D525" s="115"/>
      <c r="E525" s="115"/>
      <c r="F525" s="115"/>
      <c r="G525" s="115"/>
    </row>
    <row r="526" ht="15.75" customHeight="1">
      <c r="A526" s="115"/>
      <c r="B526" s="115"/>
      <c r="C526" s="115"/>
      <c r="D526" s="115"/>
      <c r="E526" s="115"/>
      <c r="F526" s="115"/>
      <c r="G526" s="115"/>
    </row>
    <row r="527" ht="15.75" customHeight="1">
      <c r="A527" s="115"/>
      <c r="B527" s="115"/>
      <c r="C527" s="115"/>
      <c r="D527" s="115"/>
      <c r="E527" s="115"/>
      <c r="F527" s="115"/>
      <c r="G527" s="115"/>
    </row>
    <row r="528" ht="15.75" customHeight="1">
      <c r="A528" s="115"/>
      <c r="B528" s="115"/>
      <c r="C528" s="115"/>
      <c r="D528" s="115"/>
      <c r="E528" s="115"/>
      <c r="F528" s="115"/>
      <c r="G528" s="115"/>
    </row>
    <row r="529" ht="15.75" customHeight="1">
      <c r="A529" s="115"/>
      <c r="B529" s="115"/>
      <c r="C529" s="115"/>
      <c r="D529" s="115"/>
      <c r="E529" s="115"/>
      <c r="F529" s="115"/>
      <c r="G529" s="115"/>
    </row>
    <row r="530" ht="15.75" customHeight="1">
      <c r="A530" s="115"/>
      <c r="B530" s="115"/>
      <c r="C530" s="115"/>
      <c r="D530" s="115"/>
      <c r="E530" s="115"/>
      <c r="F530" s="115"/>
      <c r="G530" s="115"/>
    </row>
    <row r="531" ht="15.75" customHeight="1">
      <c r="A531" s="115"/>
      <c r="B531" s="115"/>
      <c r="C531" s="115"/>
      <c r="D531" s="115"/>
      <c r="E531" s="115"/>
      <c r="F531" s="115"/>
      <c r="G531" s="115"/>
    </row>
    <row r="532" ht="15.75" customHeight="1">
      <c r="A532" s="115"/>
      <c r="B532" s="115"/>
      <c r="C532" s="115"/>
      <c r="D532" s="115"/>
      <c r="E532" s="115"/>
      <c r="F532" s="115"/>
      <c r="G532" s="115"/>
    </row>
    <row r="533" ht="15.75" customHeight="1">
      <c r="A533" s="115"/>
      <c r="B533" s="115"/>
      <c r="C533" s="115"/>
      <c r="D533" s="115"/>
      <c r="E533" s="115"/>
      <c r="F533" s="115"/>
      <c r="G533" s="115"/>
    </row>
    <row r="534" ht="15.75" customHeight="1">
      <c r="A534" s="115"/>
      <c r="B534" s="115"/>
      <c r="C534" s="115"/>
      <c r="D534" s="115"/>
      <c r="E534" s="115"/>
      <c r="F534" s="115"/>
      <c r="G534" s="115"/>
    </row>
    <row r="535" ht="15.75" customHeight="1">
      <c r="A535" s="115"/>
      <c r="B535" s="115"/>
      <c r="C535" s="115"/>
      <c r="D535" s="115"/>
      <c r="E535" s="115"/>
      <c r="F535" s="115"/>
      <c r="G535" s="115"/>
    </row>
    <row r="536" ht="15.75" customHeight="1">
      <c r="A536" s="115"/>
      <c r="B536" s="115"/>
      <c r="C536" s="115"/>
      <c r="D536" s="115"/>
      <c r="E536" s="115"/>
      <c r="F536" s="115"/>
      <c r="G536" s="115"/>
    </row>
    <row r="537" ht="15.75" customHeight="1">
      <c r="A537" s="115"/>
      <c r="B537" s="115"/>
      <c r="C537" s="115"/>
      <c r="D537" s="115"/>
      <c r="E537" s="115"/>
      <c r="F537" s="115"/>
      <c r="G537" s="115"/>
    </row>
    <row r="538" ht="15.75" customHeight="1">
      <c r="A538" s="115"/>
      <c r="B538" s="115"/>
      <c r="C538" s="115"/>
      <c r="D538" s="115"/>
      <c r="E538" s="115"/>
      <c r="F538" s="115"/>
      <c r="G538" s="115"/>
    </row>
    <row r="539" ht="15.75" customHeight="1">
      <c r="A539" s="115"/>
      <c r="B539" s="115"/>
      <c r="C539" s="115"/>
      <c r="D539" s="115"/>
      <c r="E539" s="115"/>
      <c r="F539" s="115"/>
      <c r="G539" s="115"/>
    </row>
    <row r="540" ht="15.75" customHeight="1">
      <c r="A540" s="115"/>
      <c r="B540" s="115"/>
      <c r="C540" s="115"/>
      <c r="D540" s="115"/>
      <c r="E540" s="115"/>
      <c r="F540" s="115"/>
      <c r="G540" s="115"/>
    </row>
    <row r="541" ht="15.75" customHeight="1">
      <c r="A541" s="115"/>
      <c r="B541" s="115"/>
      <c r="C541" s="115"/>
      <c r="D541" s="115"/>
      <c r="E541" s="115"/>
      <c r="F541" s="115"/>
      <c r="G541" s="115"/>
    </row>
    <row r="542" ht="15.75" customHeight="1">
      <c r="A542" s="115"/>
      <c r="B542" s="115"/>
      <c r="C542" s="115"/>
      <c r="D542" s="115"/>
      <c r="E542" s="115"/>
      <c r="F542" s="115"/>
      <c r="G542" s="115"/>
    </row>
    <row r="543" ht="15.75" customHeight="1">
      <c r="A543" s="115"/>
      <c r="B543" s="115"/>
      <c r="C543" s="115"/>
      <c r="D543" s="115"/>
      <c r="E543" s="115"/>
      <c r="F543" s="115"/>
      <c r="G543" s="115"/>
    </row>
    <row r="544" ht="15.75" customHeight="1">
      <c r="A544" s="115"/>
      <c r="B544" s="115"/>
      <c r="C544" s="115"/>
      <c r="D544" s="115"/>
      <c r="E544" s="115"/>
      <c r="F544" s="115"/>
      <c r="G544" s="115"/>
    </row>
    <row r="545" ht="15.75" customHeight="1">
      <c r="A545" s="115"/>
      <c r="B545" s="115"/>
      <c r="C545" s="115"/>
      <c r="D545" s="115"/>
      <c r="E545" s="115"/>
      <c r="F545" s="115"/>
      <c r="G545" s="115"/>
    </row>
    <row r="546" ht="15.75" customHeight="1">
      <c r="A546" s="115"/>
      <c r="B546" s="115"/>
      <c r="C546" s="115"/>
      <c r="D546" s="115"/>
      <c r="E546" s="115"/>
      <c r="F546" s="115"/>
      <c r="G546" s="115"/>
    </row>
    <row r="547" ht="15.75" customHeight="1">
      <c r="A547" s="115"/>
      <c r="B547" s="115"/>
      <c r="C547" s="115"/>
      <c r="D547" s="115"/>
      <c r="E547" s="115"/>
      <c r="F547" s="115"/>
      <c r="G547" s="115"/>
    </row>
    <row r="548" ht="15.75" customHeight="1">
      <c r="A548" s="115"/>
      <c r="B548" s="115"/>
      <c r="C548" s="115"/>
      <c r="D548" s="115"/>
      <c r="E548" s="115"/>
      <c r="F548" s="115"/>
      <c r="G548" s="115"/>
    </row>
    <row r="549" ht="15.75" customHeight="1">
      <c r="A549" s="115"/>
      <c r="B549" s="115"/>
      <c r="C549" s="115"/>
      <c r="D549" s="115"/>
      <c r="E549" s="115"/>
      <c r="F549" s="115"/>
      <c r="G549" s="115"/>
    </row>
    <row r="550" ht="15.75" customHeight="1">
      <c r="A550" s="115"/>
      <c r="B550" s="115"/>
      <c r="C550" s="115"/>
      <c r="D550" s="115"/>
      <c r="E550" s="115"/>
      <c r="F550" s="115"/>
      <c r="G550" s="115"/>
    </row>
    <row r="551" ht="15.75" customHeight="1">
      <c r="A551" s="115"/>
      <c r="B551" s="115"/>
      <c r="C551" s="115"/>
      <c r="D551" s="115"/>
      <c r="E551" s="115"/>
      <c r="F551" s="115"/>
      <c r="G551" s="115"/>
    </row>
    <row r="552" ht="15.75" customHeight="1">
      <c r="A552" s="115"/>
      <c r="B552" s="115"/>
      <c r="C552" s="115"/>
      <c r="D552" s="115"/>
      <c r="E552" s="115"/>
      <c r="F552" s="115"/>
      <c r="G552" s="115"/>
    </row>
    <row r="553" ht="15.75" customHeight="1">
      <c r="A553" s="115"/>
      <c r="B553" s="115"/>
      <c r="C553" s="115"/>
      <c r="D553" s="115"/>
      <c r="E553" s="115"/>
      <c r="F553" s="115"/>
      <c r="G553" s="115"/>
    </row>
    <row r="554" ht="15.75" customHeight="1">
      <c r="A554" s="115"/>
      <c r="B554" s="115"/>
      <c r="C554" s="115"/>
      <c r="D554" s="115"/>
      <c r="E554" s="115"/>
      <c r="F554" s="115"/>
      <c r="G554" s="115"/>
    </row>
    <row r="555" ht="15.75" customHeight="1">
      <c r="A555" s="115"/>
      <c r="B555" s="115"/>
      <c r="C555" s="115"/>
      <c r="D555" s="115"/>
      <c r="E555" s="115"/>
      <c r="F555" s="115"/>
      <c r="G555" s="115"/>
    </row>
    <row r="556" ht="15.75" customHeight="1">
      <c r="A556" s="115"/>
      <c r="B556" s="115"/>
      <c r="C556" s="115"/>
      <c r="D556" s="115"/>
      <c r="E556" s="115"/>
      <c r="F556" s="115"/>
      <c r="G556" s="115"/>
    </row>
    <row r="557" ht="15.75" customHeight="1">
      <c r="A557" s="115"/>
      <c r="B557" s="115"/>
      <c r="C557" s="115"/>
      <c r="D557" s="115"/>
      <c r="E557" s="115"/>
      <c r="F557" s="115"/>
      <c r="G557" s="115"/>
    </row>
    <row r="558" ht="15.75" customHeight="1">
      <c r="A558" s="115"/>
      <c r="B558" s="115"/>
      <c r="C558" s="115"/>
      <c r="D558" s="115"/>
      <c r="E558" s="115"/>
      <c r="F558" s="115"/>
      <c r="G558" s="115"/>
    </row>
    <row r="559" ht="15.75" customHeight="1">
      <c r="A559" s="115"/>
      <c r="B559" s="115"/>
      <c r="C559" s="115"/>
      <c r="D559" s="115"/>
      <c r="E559" s="115"/>
      <c r="F559" s="115"/>
      <c r="G559" s="115"/>
    </row>
    <row r="560" ht="15.75" customHeight="1">
      <c r="A560" s="115"/>
      <c r="B560" s="115"/>
      <c r="C560" s="115"/>
      <c r="D560" s="115"/>
      <c r="E560" s="115"/>
      <c r="F560" s="115"/>
      <c r="G560" s="115"/>
    </row>
    <row r="561" ht="15.75" customHeight="1">
      <c r="A561" s="115"/>
      <c r="B561" s="115"/>
      <c r="C561" s="115"/>
      <c r="D561" s="115"/>
      <c r="E561" s="115"/>
      <c r="F561" s="115"/>
      <c r="G561" s="115"/>
    </row>
    <row r="562" ht="15.75" customHeight="1">
      <c r="A562" s="115"/>
      <c r="B562" s="115"/>
      <c r="C562" s="115"/>
      <c r="D562" s="115"/>
      <c r="E562" s="115"/>
      <c r="F562" s="115"/>
      <c r="G562" s="115"/>
    </row>
    <row r="563" ht="15.75" customHeight="1">
      <c r="A563" s="115"/>
      <c r="B563" s="115"/>
      <c r="C563" s="115"/>
      <c r="D563" s="115"/>
      <c r="E563" s="115"/>
      <c r="F563" s="115"/>
      <c r="G563" s="115"/>
    </row>
    <row r="564" ht="15.75" customHeight="1">
      <c r="A564" s="115"/>
      <c r="B564" s="115"/>
      <c r="C564" s="115"/>
      <c r="D564" s="115"/>
      <c r="E564" s="115"/>
      <c r="F564" s="115"/>
      <c r="G564" s="115"/>
    </row>
    <row r="565" ht="15.75" customHeight="1">
      <c r="A565" s="115"/>
      <c r="B565" s="115"/>
      <c r="C565" s="115"/>
      <c r="D565" s="115"/>
      <c r="E565" s="115"/>
      <c r="F565" s="115"/>
      <c r="G565" s="115"/>
    </row>
    <row r="566" ht="15.75" customHeight="1">
      <c r="A566" s="115"/>
      <c r="B566" s="115"/>
      <c r="C566" s="115"/>
      <c r="D566" s="115"/>
      <c r="E566" s="115"/>
      <c r="F566" s="115"/>
      <c r="G566" s="115"/>
    </row>
    <row r="567" ht="15.75" customHeight="1">
      <c r="A567" s="115"/>
      <c r="B567" s="115"/>
      <c r="C567" s="115"/>
      <c r="D567" s="115"/>
      <c r="E567" s="115"/>
      <c r="F567" s="115"/>
      <c r="G567" s="115"/>
    </row>
    <row r="568" ht="15.75" customHeight="1">
      <c r="A568" s="115"/>
      <c r="B568" s="115"/>
      <c r="C568" s="115"/>
      <c r="D568" s="115"/>
      <c r="E568" s="115"/>
      <c r="F568" s="115"/>
      <c r="G568" s="115"/>
    </row>
    <row r="569" ht="15.75" customHeight="1">
      <c r="A569" s="115"/>
      <c r="B569" s="115"/>
      <c r="C569" s="115"/>
      <c r="D569" s="115"/>
      <c r="E569" s="115"/>
      <c r="F569" s="115"/>
      <c r="G569" s="115"/>
    </row>
    <row r="570" ht="15.75" customHeight="1">
      <c r="A570" s="115"/>
      <c r="B570" s="115"/>
      <c r="C570" s="115"/>
      <c r="D570" s="115"/>
      <c r="E570" s="115"/>
      <c r="F570" s="115"/>
      <c r="G570" s="115"/>
    </row>
    <row r="571" ht="15.75" customHeight="1">
      <c r="A571" s="115"/>
      <c r="B571" s="115"/>
      <c r="C571" s="115"/>
      <c r="D571" s="115"/>
      <c r="E571" s="115"/>
      <c r="F571" s="115"/>
      <c r="G571" s="115"/>
    </row>
    <row r="572" ht="15.75" customHeight="1">
      <c r="A572" s="115"/>
      <c r="B572" s="115"/>
      <c r="C572" s="115"/>
      <c r="D572" s="115"/>
      <c r="E572" s="115"/>
      <c r="F572" s="115"/>
      <c r="G572" s="115"/>
    </row>
    <row r="573" ht="15.75" customHeight="1">
      <c r="A573" s="115"/>
      <c r="B573" s="115"/>
      <c r="C573" s="115"/>
      <c r="D573" s="115"/>
      <c r="E573" s="115"/>
      <c r="F573" s="115"/>
      <c r="G573" s="115"/>
    </row>
    <row r="574" ht="15.75" customHeight="1">
      <c r="A574" s="115"/>
      <c r="B574" s="115"/>
      <c r="C574" s="115"/>
      <c r="D574" s="115"/>
      <c r="E574" s="115"/>
      <c r="F574" s="115"/>
      <c r="G574" s="115"/>
    </row>
    <row r="575" ht="15.75" customHeight="1">
      <c r="A575" s="115"/>
      <c r="B575" s="115"/>
      <c r="C575" s="115"/>
      <c r="D575" s="115"/>
      <c r="E575" s="115"/>
      <c r="F575" s="115"/>
      <c r="G575" s="115"/>
    </row>
    <row r="576" ht="15.75" customHeight="1">
      <c r="A576" s="115"/>
      <c r="B576" s="115"/>
      <c r="C576" s="115"/>
      <c r="D576" s="115"/>
      <c r="E576" s="115"/>
      <c r="F576" s="115"/>
      <c r="G576" s="115"/>
    </row>
    <row r="577" ht="15.75" customHeight="1">
      <c r="A577" s="115"/>
      <c r="B577" s="115"/>
      <c r="C577" s="115"/>
      <c r="D577" s="115"/>
      <c r="E577" s="115"/>
      <c r="F577" s="115"/>
      <c r="G577" s="115"/>
    </row>
    <row r="578" ht="15.75" customHeight="1">
      <c r="A578" s="115"/>
      <c r="B578" s="115"/>
      <c r="C578" s="115"/>
      <c r="D578" s="115"/>
      <c r="E578" s="115"/>
      <c r="F578" s="115"/>
      <c r="G578" s="115"/>
    </row>
    <row r="579" ht="15.75" customHeight="1">
      <c r="A579" s="115"/>
      <c r="B579" s="115"/>
      <c r="C579" s="115"/>
      <c r="D579" s="115"/>
      <c r="E579" s="115"/>
      <c r="F579" s="115"/>
      <c r="G579" s="115"/>
    </row>
    <row r="580" ht="15.75" customHeight="1">
      <c r="A580" s="115"/>
      <c r="B580" s="115"/>
      <c r="C580" s="115"/>
      <c r="D580" s="115"/>
      <c r="E580" s="115"/>
      <c r="F580" s="115"/>
      <c r="G580" s="115"/>
    </row>
    <row r="581" ht="15.75" customHeight="1">
      <c r="A581" s="115"/>
      <c r="B581" s="115"/>
      <c r="C581" s="115"/>
      <c r="D581" s="115"/>
      <c r="E581" s="115"/>
      <c r="F581" s="115"/>
      <c r="G581" s="115"/>
    </row>
    <row r="582" ht="15.75" customHeight="1">
      <c r="A582" s="115"/>
      <c r="B582" s="115"/>
      <c r="C582" s="115"/>
      <c r="D582" s="115"/>
      <c r="E582" s="115"/>
      <c r="F582" s="115"/>
      <c r="G582" s="115"/>
    </row>
    <row r="583" ht="15.75" customHeight="1">
      <c r="A583" s="115"/>
      <c r="B583" s="115"/>
      <c r="C583" s="115"/>
      <c r="D583" s="115"/>
      <c r="E583" s="115"/>
      <c r="F583" s="115"/>
      <c r="G583" s="115"/>
    </row>
    <row r="584" ht="15.75" customHeight="1">
      <c r="A584" s="115"/>
      <c r="B584" s="115"/>
      <c r="C584" s="115"/>
      <c r="D584" s="115"/>
      <c r="E584" s="115"/>
      <c r="F584" s="115"/>
      <c r="G584" s="115"/>
    </row>
    <row r="585" ht="15.75" customHeight="1">
      <c r="A585" s="115"/>
      <c r="B585" s="115"/>
      <c r="C585" s="115"/>
      <c r="D585" s="115"/>
      <c r="E585" s="115"/>
      <c r="F585" s="115"/>
      <c r="G585" s="115"/>
    </row>
    <row r="586" ht="15.75" customHeight="1">
      <c r="A586" s="115"/>
      <c r="B586" s="115"/>
      <c r="C586" s="115"/>
      <c r="D586" s="115"/>
      <c r="E586" s="115"/>
      <c r="F586" s="115"/>
      <c r="G586" s="115"/>
    </row>
    <row r="587" ht="15.75" customHeight="1">
      <c r="A587" s="115"/>
      <c r="B587" s="115"/>
      <c r="C587" s="115"/>
      <c r="D587" s="115"/>
      <c r="E587" s="115"/>
      <c r="F587" s="115"/>
      <c r="G587" s="115"/>
    </row>
    <row r="588" ht="15.75" customHeight="1">
      <c r="A588" s="115"/>
      <c r="B588" s="115"/>
      <c r="C588" s="115"/>
      <c r="D588" s="115"/>
      <c r="E588" s="115"/>
      <c r="F588" s="115"/>
      <c r="G588" s="115"/>
    </row>
    <row r="589" ht="15.75" customHeight="1">
      <c r="A589" s="115"/>
      <c r="B589" s="115"/>
      <c r="C589" s="115"/>
      <c r="D589" s="115"/>
      <c r="E589" s="115"/>
      <c r="F589" s="115"/>
      <c r="G589" s="115"/>
    </row>
    <row r="590" ht="15.75" customHeight="1">
      <c r="A590" s="115"/>
      <c r="B590" s="115"/>
      <c r="C590" s="115"/>
      <c r="D590" s="115"/>
      <c r="E590" s="115"/>
      <c r="F590" s="115"/>
      <c r="G590" s="115"/>
    </row>
    <row r="591" ht="15.75" customHeight="1">
      <c r="A591" s="115"/>
      <c r="B591" s="115"/>
      <c r="C591" s="115"/>
      <c r="D591" s="115"/>
      <c r="E591" s="115"/>
      <c r="F591" s="115"/>
      <c r="G591" s="115"/>
    </row>
    <row r="592" ht="15.75" customHeight="1">
      <c r="A592" s="115"/>
      <c r="B592" s="115"/>
      <c r="C592" s="115"/>
      <c r="D592" s="115"/>
      <c r="E592" s="115"/>
      <c r="F592" s="115"/>
      <c r="G592" s="115"/>
    </row>
    <row r="593" ht="15.75" customHeight="1">
      <c r="A593" s="115"/>
      <c r="B593" s="115"/>
      <c r="C593" s="115"/>
      <c r="D593" s="115"/>
      <c r="E593" s="115"/>
      <c r="F593" s="115"/>
      <c r="G593" s="115"/>
    </row>
    <row r="594" ht="15.75" customHeight="1">
      <c r="A594" s="115"/>
      <c r="B594" s="115"/>
      <c r="C594" s="115"/>
      <c r="D594" s="115"/>
      <c r="E594" s="115"/>
      <c r="F594" s="115"/>
      <c r="G594" s="115"/>
    </row>
    <row r="595" ht="15.75" customHeight="1">
      <c r="A595" s="115"/>
      <c r="B595" s="115"/>
      <c r="C595" s="115"/>
      <c r="D595" s="115"/>
      <c r="E595" s="115"/>
      <c r="F595" s="115"/>
      <c r="G595" s="115"/>
    </row>
    <row r="596" ht="15.75" customHeight="1">
      <c r="A596" s="115"/>
      <c r="B596" s="115"/>
      <c r="C596" s="115"/>
      <c r="D596" s="115"/>
      <c r="E596" s="115"/>
      <c r="F596" s="115"/>
      <c r="G596" s="115"/>
    </row>
    <row r="597" ht="15.75" customHeight="1">
      <c r="A597" s="115"/>
      <c r="B597" s="115"/>
      <c r="C597" s="115"/>
      <c r="D597" s="115"/>
      <c r="E597" s="115"/>
      <c r="F597" s="115"/>
      <c r="G597" s="115"/>
    </row>
    <row r="598" ht="15.75" customHeight="1">
      <c r="A598" s="115"/>
      <c r="B598" s="115"/>
      <c r="C598" s="115"/>
      <c r="D598" s="115"/>
      <c r="E598" s="115"/>
      <c r="F598" s="115"/>
      <c r="G598" s="115"/>
    </row>
    <row r="599" ht="15.75" customHeight="1">
      <c r="A599" s="115"/>
      <c r="B599" s="115"/>
      <c r="C599" s="115"/>
      <c r="D599" s="115"/>
      <c r="E599" s="115"/>
      <c r="F599" s="115"/>
      <c r="G599" s="115"/>
    </row>
    <row r="600" ht="15.75" customHeight="1">
      <c r="A600" s="115"/>
      <c r="B600" s="115"/>
      <c r="C600" s="115"/>
      <c r="D600" s="115"/>
      <c r="E600" s="115"/>
      <c r="F600" s="115"/>
      <c r="G600" s="115"/>
    </row>
    <row r="601" ht="15.75" customHeight="1">
      <c r="A601" s="115"/>
      <c r="B601" s="115"/>
      <c r="C601" s="115"/>
      <c r="D601" s="115"/>
      <c r="E601" s="115"/>
      <c r="F601" s="115"/>
      <c r="G601" s="115"/>
    </row>
    <row r="602" ht="15.75" customHeight="1">
      <c r="A602" s="115"/>
      <c r="B602" s="115"/>
      <c r="C602" s="115"/>
      <c r="D602" s="115"/>
      <c r="E602" s="115"/>
      <c r="F602" s="115"/>
      <c r="G602" s="115"/>
    </row>
    <row r="603" ht="15.75" customHeight="1">
      <c r="A603" s="115"/>
      <c r="B603" s="115"/>
      <c r="C603" s="115"/>
      <c r="D603" s="115"/>
      <c r="E603" s="115"/>
      <c r="F603" s="115"/>
      <c r="G603" s="115"/>
    </row>
    <row r="604" ht="15.75" customHeight="1">
      <c r="A604" s="115"/>
      <c r="B604" s="115"/>
      <c r="C604" s="115"/>
      <c r="D604" s="115"/>
      <c r="E604" s="115"/>
      <c r="F604" s="115"/>
      <c r="G604" s="115"/>
    </row>
    <row r="605" ht="15.75" customHeight="1">
      <c r="A605" s="115"/>
      <c r="B605" s="115"/>
      <c r="C605" s="115"/>
      <c r="D605" s="115"/>
      <c r="E605" s="115"/>
      <c r="F605" s="115"/>
      <c r="G605" s="115"/>
    </row>
    <row r="606" ht="15.75" customHeight="1">
      <c r="A606" s="115"/>
      <c r="B606" s="115"/>
      <c r="C606" s="115"/>
      <c r="D606" s="115"/>
      <c r="E606" s="115"/>
      <c r="F606" s="115"/>
      <c r="G606" s="115"/>
    </row>
    <row r="607" ht="15.75" customHeight="1">
      <c r="A607" s="115"/>
      <c r="B607" s="115"/>
      <c r="C607" s="115"/>
      <c r="D607" s="115"/>
      <c r="E607" s="115"/>
      <c r="F607" s="115"/>
      <c r="G607" s="115"/>
    </row>
    <row r="608" ht="15.75" customHeight="1">
      <c r="A608" s="115"/>
      <c r="B608" s="115"/>
      <c r="C608" s="115"/>
      <c r="D608" s="115"/>
      <c r="E608" s="115"/>
      <c r="F608" s="115"/>
      <c r="G608" s="115"/>
    </row>
    <row r="609" ht="15.75" customHeight="1">
      <c r="A609" s="115"/>
      <c r="B609" s="115"/>
      <c r="C609" s="115"/>
      <c r="D609" s="115"/>
      <c r="E609" s="115"/>
      <c r="F609" s="115"/>
      <c r="G609" s="115"/>
    </row>
    <row r="610" ht="15.75" customHeight="1">
      <c r="A610" s="115"/>
      <c r="B610" s="115"/>
      <c r="C610" s="115"/>
      <c r="D610" s="115"/>
      <c r="E610" s="115"/>
      <c r="F610" s="115"/>
      <c r="G610" s="115"/>
    </row>
    <row r="611" ht="15.75" customHeight="1">
      <c r="A611" s="115"/>
      <c r="B611" s="115"/>
      <c r="C611" s="115"/>
      <c r="D611" s="115"/>
      <c r="E611" s="115"/>
      <c r="F611" s="115"/>
      <c r="G611" s="115"/>
    </row>
    <row r="612" ht="15.75" customHeight="1">
      <c r="A612" s="115"/>
      <c r="B612" s="115"/>
      <c r="C612" s="115"/>
      <c r="D612" s="115"/>
      <c r="E612" s="115"/>
      <c r="F612" s="115"/>
      <c r="G612" s="115"/>
    </row>
    <row r="613" ht="15.75" customHeight="1">
      <c r="A613" s="115"/>
      <c r="B613" s="115"/>
      <c r="C613" s="115"/>
      <c r="D613" s="115"/>
      <c r="E613" s="115"/>
      <c r="F613" s="115"/>
      <c r="G613" s="115"/>
    </row>
    <row r="614" ht="15.75" customHeight="1">
      <c r="A614" s="115"/>
      <c r="B614" s="115"/>
      <c r="C614" s="115"/>
      <c r="D614" s="115"/>
      <c r="E614" s="115"/>
      <c r="F614" s="115"/>
      <c r="G614" s="115"/>
    </row>
    <row r="615" ht="15.75" customHeight="1">
      <c r="A615" s="115"/>
      <c r="B615" s="115"/>
      <c r="C615" s="115"/>
      <c r="D615" s="115"/>
      <c r="E615" s="115"/>
      <c r="F615" s="115"/>
      <c r="G615" s="115"/>
    </row>
    <row r="616" ht="15.75" customHeight="1">
      <c r="A616" s="115"/>
      <c r="B616" s="115"/>
      <c r="C616" s="115"/>
      <c r="D616" s="115"/>
      <c r="E616" s="115"/>
      <c r="F616" s="115"/>
      <c r="G616" s="115"/>
    </row>
    <row r="617" ht="15.75" customHeight="1">
      <c r="A617" s="115"/>
      <c r="B617" s="115"/>
      <c r="C617" s="115"/>
      <c r="D617" s="115"/>
      <c r="E617" s="115"/>
      <c r="F617" s="115"/>
      <c r="G617" s="115"/>
    </row>
    <row r="618" ht="15.75" customHeight="1">
      <c r="A618" s="115"/>
      <c r="B618" s="115"/>
      <c r="C618" s="115"/>
      <c r="D618" s="115"/>
      <c r="E618" s="115"/>
      <c r="F618" s="115"/>
      <c r="G618" s="115"/>
    </row>
    <row r="619" ht="15.75" customHeight="1">
      <c r="A619" s="115"/>
      <c r="B619" s="115"/>
      <c r="C619" s="115"/>
      <c r="D619" s="115"/>
      <c r="E619" s="115"/>
      <c r="F619" s="115"/>
      <c r="G619" s="115"/>
    </row>
    <row r="620" ht="15.75" customHeight="1">
      <c r="A620" s="115"/>
      <c r="B620" s="115"/>
      <c r="C620" s="115"/>
      <c r="D620" s="115"/>
      <c r="E620" s="115"/>
      <c r="F620" s="115"/>
      <c r="G620" s="115"/>
    </row>
    <row r="621" ht="15.75" customHeight="1">
      <c r="A621" s="115"/>
      <c r="B621" s="115"/>
      <c r="C621" s="115"/>
      <c r="D621" s="115"/>
      <c r="E621" s="115"/>
      <c r="F621" s="115"/>
      <c r="G621" s="115"/>
    </row>
    <row r="622" ht="15.75" customHeight="1">
      <c r="A622" s="115"/>
      <c r="B622" s="115"/>
      <c r="C622" s="115"/>
      <c r="D622" s="115"/>
      <c r="E622" s="115"/>
      <c r="F622" s="115"/>
      <c r="G622" s="115"/>
    </row>
    <row r="623" ht="15.75" customHeight="1">
      <c r="A623" s="115"/>
      <c r="B623" s="115"/>
      <c r="C623" s="115"/>
      <c r="D623" s="115"/>
      <c r="E623" s="115"/>
      <c r="F623" s="115"/>
      <c r="G623" s="115"/>
    </row>
    <row r="624" ht="15.75" customHeight="1">
      <c r="A624" s="115"/>
      <c r="B624" s="115"/>
      <c r="C624" s="115"/>
      <c r="D624" s="115"/>
      <c r="E624" s="115"/>
      <c r="F624" s="115"/>
      <c r="G624" s="115"/>
    </row>
    <row r="625" ht="15.75" customHeight="1">
      <c r="A625" s="115"/>
      <c r="B625" s="115"/>
      <c r="C625" s="115"/>
      <c r="D625" s="115"/>
      <c r="E625" s="115"/>
      <c r="F625" s="115"/>
      <c r="G625" s="115"/>
    </row>
    <row r="626" ht="15.75" customHeight="1">
      <c r="A626" s="115"/>
      <c r="B626" s="115"/>
      <c r="C626" s="115"/>
      <c r="D626" s="115"/>
      <c r="E626" s="115"/>
      <c r="F626" s="115"/>
      <c r="G626" s="115"/>
    </row>
    <row r="627" ht="15.75" customHeight="1">
      <c r="A627" s="115"/>
      <c r="B627" s="115"/>
      <c r="C627" s="115"/>
      <c r="D627" s="115"/>
      <c r="E627" s="115"/>
      <c r="F627" s="115"/>
      <c r="G627" s="115"/>
    </row>
    <row r="628" ht="15.75" customHeight="1">
      <c r="A628" s="115"/>
      <c r="B628" s="115"/>
      <c r="C628" s="115"/>
      <c r="D628" s="115"/>
      <c r="E628" s="115"/>
      <c r="F628" s="115"/>
      <c r="G628" s="115"/>
    </row>
    <row r="629" ht="15.75" customHeight="1">
      <c r="A629" s="115"/>
      <c r="B629" s="115"/>
      <c r="C629" s="115"/>
      <c r="D629" s="115"/>
      <c r="E629" s="115"/>
      <c r="F629" s="115"/>
      <c r="G629" s="115"/>
    </row>
    <row r="630" ht="15.75" customHeight="1">
      <c r="A630" s="115"/>
      <c r="B630" s="115"/>
      <c r="C630" s="115"/>
      <c r="D630" s="115"/>
      <c r="E630" s="115"/>
      <c r="F630" s="115"/>
      <c r="G630" s="115"/>
    </row>
    <row r="631" ht="15.75" customHeight="1">
      <c r="A631" s="115"/>
      <c r="B631" s="115"/>
      <c r="C631" s="115"/>
      <c r="D631" s="115"/>
      <c r="E631" s="115"/>
      <c r="F631" s="115"/>
      <c r="G631" s="115"/>
    </row>
    <row r="632" ht="15.75" customHeight="1">
      <c r="A632" s="115"/>
      <c r="B632" s="115"/>
      <c r="C632" s="115"/>
      <c r="D632" s="115"/>
      <c r="E632" s="115"/>
      <c r="F632" s="115"/>
      <c r="G632" s="115"/>
    </row>
    <row r="633" ht="15.75" customHeight="1">
      <c r="A633" s="115"/>
      <c r="B633" s="115"/>
      <c r="C633" s="115"/>
      <c r="D633" s="115"/>
      <c r="E633" s="115"/>
      <c r="F633" s="115"/>
      <c r="G633" s="115"/>
    </row>
    <row r="634" ht="15.75" customHeight="1">
      <c r="A634" s="115"/>
      <c r="B634" s="115"/>
      <c r="C634" s="115"/>
      <c r="D634" s="115"/>
      <c r="E634" s="115"/>
      <c r="F634" s="115"/>
      <c r="G634" s="115"/>
    </row>
    <row r="635" ht="15.75" customHeight="1">
      <c r="A635" s="115"/>
      <c r="B635" s="115"/>
      <c r="C635" s="115"/>
      <c r="D635" s="115"/>
      <c r="E635" s="115"/>
      <c r="F635" s="115"/>
      <c r="G635" s="115"/>
    </row>
    <row r="636" ht="15.75" customHeight="1">
      <c r="A636" s="115"/>
      <c r="B636" s="115"/>
      <c r="C636" s="115"/>
      <c r="D636" s="115"/>
      <c r="E636" s="115"/>
      <c r="F636" s="115"/>
      <c r="G636" s="115"/>
    </row>
    <row r="637" ht="15.75" customHeight="1">
      <c r="A637" s="115"/>
      <c r="B637" s="115"/>
      <c r="C637" s="115"/>
      <c r="D637" s="115"/>
      <c r="E637" s="115"/>
      <c r="F637" s="115"/>
      <c r="G637" s="115"/>
    </row>
    <row r="638" ht="15.75" customHeight="1">
      <c r="A638" s="115"/>
      <c r="B638" s="115"/>
      <c r="C638" s="115"/>
      <c r="D638" s="115"/>
      <c r="E638" s="115"/>
      <c r="F638" s="115"/>
      <c r="G638" s="115"/>
    </row>
    <row r="639" ht="15.75" customHeight="1">
      <c r="A639" s="115"/>
      <c r="B639" s="115"/>
      <c r="C639" s="115"/>
      <c r="D639" s="115"/>
      <c r="E639" s="115"/>
      <c r="F639" s="115"/>
      <c r="G639" s="115"/>
    </row>
    <row r="640" ht="15.75" customHeight="1">
      <c r="A640" s="115"/>
      <c r="B640" s="115"/>
      <c r="C640" s="115"/>
      <c r="D640" s="115"/>
      <c r="E640" s="115"/>
      <c r="F640" s="115"/>
      <c r="G640" s="115"/>
    </row>
    <row r="641" ht="15.75" customHeight="1">
      <c r="A641" s="115"/>
      <c r="B641" s="115"/>
      <c r="C641" s="115"/>
      <c r="D641" s="115"/>
      <c r="E641" s="115"/>
      <c r="F641" s="115"/>
      <c r="G641" s="115"/>
    </row>
    <row r="642" ht="15.75" customHeight="1">
      <c r="A642" s="115"/>
      <c r="B642" s="115"/>
      <c r="C642" s="115"/>
      <c r="D642" s="115"/>
      <c r="E642" s="115"/>
      <c r="F642" s="115"/>
      <c r="G642" s="115"/>
    </row>
    <row r="643" ht="15.75" customHeight="1">
      <c r="A643" s="115"/>
      <c r="B643" s="115"/>
      <c r="C643" s="115"/>
      <c r="D643" s="115"/>
      <c r="E643" s="115"/>
      <c r="F643" s="115"/>
      <c r="G643" s="115"/>
    </row>
    <row r="644" ht="15.75" customHeight="1">
      <c r="A644" s="115"/>
      <c r="B644" s="115"/>
      <c r="C644" s="115"/>
      <c r="D644" s="115"/>
      <c r="E644" s="115"/>
      <c r="F644" s="115"/>
      <c r="G644" s="115"/>
    </row>
    <row r="645" ht="15.75" customHeight="1">
      <c r="A645" s="115"/>
      <c r="B645" s="115"/>
      <c r="C645" s="115"/>
      <c r="D645" s="115"/>
      <c r="E645" s="115"/>
      <c r="F645" s="115"/>
      <c r="G645" s="115"/>
    </row>
    <row r="646" ht="15.75" customHeight="1">
      <c r="A646" s="115"/>
      <c r="B646" s="115"/>
      <c r="C646" s="115"/>
      <c r="D646" s="115"/>
      <c r="E646" s="115"/>
      <c r="F646" s="115"/>
      <c r="G646" s="115"/>
    </row>
    <row r="647" ht="15.75" customHeight="1">
      <c r="A647" s="115"/>
      <c r="B647" s="115"/>
      <c r="C647" s="115"/>
      <c r="D647" s="115"/>
      <c r="E647" s="115"/>
      <c r="F647" s="115"/>
      <c r="G647" s="115"/>
    </row>
    <row r="648" ht="15.75" customHeight="1">
      <c r="A648" s="115"/>
      <c r="B648" s="115"/>
      <c r="C648" s="115"/>
      <c r="D648" s="115"/>
      <c r="E648" s="115"/>
      <c r="F648" s="115"/>
      <c r="G648" s="115"/>
    </row>
    <row r="649" ht="15.75" customHeight="1">
      <c r="A649" s="115"/>
      <c r="B649" s="115"/>
      <c r="C649" s="115"/>
      <c r="D649" s="115"/>
      <c r="E649" s="115"/>
      <c r="F649" s="115"/>
      <c r="G649" s="115"/>
    </row>
    <row r="650" ht="15.75" customHeight="1">
      <c r="A650" s="115"/>
      <c r="B650" s="115"/>
      <c r="C650" s="115"/>
      <c r="D650" s="115"/>
      <c r="E650" s="115"/>
      <c r="F650" s="115"/>
      <c r="G650" s="115"/>
    </row>
    <row r="651" ht="15.75" customHeight="1">
      <c r="A651" s="115"/>
      <c r="B651" s="115"/>
      <c r="C651" s="115"/>
      <c r="D651" s="115"/>
      <c r="E651" s="115"/>
      <c r="F651" s="115"/>
      <c r="G651" s="115"/>
    </row>
    <row r="652" ht="15.75" customHeight="1">
      <c r="A652" s="115"/>
      <c r="B652" s="115"/>
      <c r="C652" s="115"/>
      <c r="D652" s="115"/>
      <c r="E652" s="115"/>
      <c r="F652" s="115"/>
      <c r="G652" s="115"/>
    </row>
    <row r="653" ht="15.75" customHeight="1">
      <c r="A653" s="115"/>
      <c r="B653" s="115"/>
      <c r="C653" s="115"/>
      <c r="D653" s="115"/>
      <c r="E653" s="115"/>
      <c r="F653" s="115"/>
      <c r="G653" s="115"/>
    </row>
    <row r="654" ht="15.75" customHeight="1">
      <c r="A654" s="115"/>
      <c r="B654" s="115"/>
      <c r="C654" s="115"/>
      <c r="D654" s="115"/>
      <c r="E654" s="115"/>
      <c r="F654" s="115"/>
      <c r="G654" s="115"/>
    </row>
    <row r="655" ht="15.75" customHeight="1">
      <c r="A655" s="115"/>
      <c r="B655" s="115"/>
      <c r="C655" s="115"/>
      <c r="D655" s="115"/>
      <c r="E655" s="115"/>
      <c r="F655" s="115"/>
      <c r="G655" s="115"/>
    </row>
    <row r="656" ht="15.75" customHeight="1">
      <c r="A656" s="115"/>
      <c r="B656" s="115"/>
      <c r="C656" s="115"/>
      <c r="D656" s="115"/>
      <c r="E656" s="115"/>
      <c r="F656" s="115"/>
      <c r="G656" s="115"/>
    </row>
    <row r="657" ht="15.75" customHeight="1">
      <c r="A657" s="115"/>
      <c r="B657" s="115"/>
      <c r="C657" s="115"/>
      <c r="D657" s="115"/>
      <c r="E657" s="115"/>
      <c r="F657" s="115"/>
      <c r="G657" s="115"/>
    </row>
    <row r="658" ht="15.75" customHeight="1">
      <c r="A658" s="115"/>
      <c r="B658" s="115"/>
      <c r="C658" s="115"/>
      <c r="D658" s="115"/>
      <c r="E658" s="115"/>
      <c r="F658" s="115"/>
      <c r="G658" s="115"/>
    </row>
    <row r="659" ht="15.75" customHeight="1">
      <c r="A659" s="115"/>
      <c r="B659" s="115"/>
      <c r="C659" s="115"/>
      <c r="D659" s="115"/>
      <c r="E659" s="115"/>
      <c r="F659" s="115"/>
      <c r="G659" s="115"/>
    </row>
    <row r="660" ht="15.75" customHeight="1">
      <c r="A660" s="115"/>
      <c r="B660" s="115"/>
      <c r="C660" s="115"/>
      <c r="D660" s="115"/>
      <c r="E660" s="115"/>
      <c r="F660" s="115"/>
      <c r="G660" s="115"/>
    </row>
    <row r="661" ht="15.75" customHeight="1">
      <c r="A661" s="115"/>
      <c r="B661" s="115"/>
      <c r="C661" s="115"/>
      <c r="D661" s="115"/>
      <c r="E661" s="115"/>
      <c r="F661" s="115"/>
      <c r="G661" s="115"/>
    </row>
    <row r="662" ht="15.75" customHeight="1">
      <c r="A662" s="115"/>
      <c r="B662" s="115"/>
      <c r="C662" s="115"/>
      <c r="D662" s="115"/>
      <c r="E662" s="115"/>
      <c r="F662" s="115"/>
      <c r="G662" s="115"/>
    </row>
    <row r="663" ht="15.75" customHeight="1">
      <c r="A663" s="115"/>
      <c r="B663" s="115"/>
      <c r="C663" s="115"/>
      <c r="D663" s="115"/>
      <c r="E663" s="115"/>
      <c r="F663" s="115"/>
      <c r="G663" s="115"/>
    </row>
    <row r="664" ht="15.75" customHeight="1">
      <c r="A664" s="115"/>
      <c r="B664" s="115"/>
      <c r="C664" s="115"/>
      <c r="D664" s="115"/>
      <c r="E664" s="115"/>
      <c r="F664" s="115"/>
      <c r="G664" s="115"/>
    </row>
    <row r="665" ht="15.75" customHeight="1">
      <c r="A665" s="115"/>
      <c r="B665" s="115"/>
      <c r="C665" s="115"/>
      <c r="D665" s="115"/>
      <c r="E665" s="115"/>
      <c r="F665" s="115"/>
      <c r="G665" s="115"/>
    </row>
    <row r="666" ht="15.75" customHeight="1">
      <c r="A666" s="115"/>
      <c r="B666" s="115"/>
      <c r="C666" s="115"/>
      <c r="D666" s="115"/>
      <c r="E666" s="115"/>
      <c r="F666" s="115"/>
      <c r="G666" s="115"/>
    </row>
    <row r="667" ht="15.75" customHeight="1">
      <c r="A667" s="115"/>
      <c r="B667" s="115"/>
      <c r="C667" s="115"/>
      <c r="D667" s="115"/>
      <c r="E667" s="115"/>
      <c r="F667" s="115"/>
      <c r="G667" s="115"/>
    </row>
    <row r="668" ht="15.75" customHeight="1">
      <c r="A668" s="115"/>
      <c r="B668" s="115"/>
      <c r="C668" s="115"/>
      <c r="D668" s="115"/>
      <c r="E668" s="115"/>
      <c r="F668" s="115"/>
      <c r="G668" s="115"/>
    </row>
    <row r="669" ht="15.75" customHeight="1">
      <c r="A669" s="115"/>
      <c r="B669" s="115"/>
      <c r="C669" s="115"/>
      <c r="D669" s="115"/>
      <c r="E669" s="115"/>
      <c r="F669" s="115"/>
      <c r="G669" s="115"/>
    </row>
    <row r="670" ht="15.75" customHeight="1">
      <c r="A670" s="115"/>
      <c r="B670" s="115"/>
      <c r="C670" s="115"/>
      <c r="D670" s="115"/>
      <c r="E670" s="115"/>
      <c r="F670" s="115"/>
      <c r="G670" s="115"/>
    </row>
    <row r="671" ht="15.75" customHeight="1">
      <c r="A671" s="115"/>
      <c r="B671" s="115"/>
      <c r="C671" s="115"/>
      <c r="D671" s="115"/>
      <c r="E671" s="115"/>
      <c r="F671" s="115"/>
      <c r="G671" s="115"/>
    </row>
    <row r="672" ht="15.75" customHeight="1">
      <c r="A672" s="115"/>
      <c r="B672" s="115"/>
      <c r="C672" s="115"/>
      <c r="D672" s="115"/>
      <c r="E672" s="115"/>
      <c r="F672" s="115"/>
      <c r="G672" s="115"/>
    </row>
    <row r="673" ht="15.75" customHeight="1">
      <c r="A673" s="115"/>
      <c r="B673" s="115"/>
      <c r="C673" s="115"/>
      <c r="D673" s="115"/>
      <c r="E673" s="115"/>
      <c r="F673" s="115"/>
      <c r="G673" s="115"/>
    </row>
    <row r="674" ht="15.75" customHeight="1">
      <c r="A674" s="115"/>
      <c r="B674" s="115"/>
      <c r="C674" s="115"/>
      <c r="D674" s="115"/>
      <c r="E674" s="115"/>
      <c r="F674" s="115"/>
      <c r="G674" s="115"/>
    </row>
    <row r="675" ht="15.75" customHeight="1">
      <c r="A675" s="115"/>
      <c r="B675" s="115"/>
      <c r="C675" s="115"/>
      <c r="D675" s="115"/>
      <c r="E675" s="115"/>
      <c r="F675" s="115"/>
      <c r="G675" s="115"/>
    </row>
    <row r="676" ht="15.75" customHeight="1">
      <c r="A676" s="115"/>
      <c r="B676" s="115"/>
      <c r="C676" s="115"/>
      <c r="D676" s="115"/>
      <c r="E676" s="115"/>
      <c r="F676" s="115"/>
      <c r="G676" s="115"/>
    </row>
    <row r="677" ht="15.75" customHeight="1">
      <c r="A677" s="115"/>
      <c r="B677" s="115"/>
      <c r="C677" s="115"/>
      <c r="D677" s="115"/>
      <c r="E677" s="115"/>
      <c r="F677" s="115"/>
      <c r="G677" s="115"/>
    </row>
    <row r="678" ht="15.75" customHeight="1">
      <c r="A678" s="115"/>
      <c r="B678" s="115"/>
      <c r="C678" s="115"/>
      <c r="D678" s="115"/>
      <c r="E678" s="115"/>
      <c r="F678" s="115"/>
      <c r="G678" s="115"/>
    </row>
    <row r="679" ht="15.75" customHeight="1">
      <c r="A679" s="115"/>
      <c r="B679" s="115"/>
      <c r="C679" s="115"/>
      <c r="D679" s="115"/>
      <c r="E679" s="115"/>
      <c r="F679" s="115"/>
      <c r="G679" s="115"/>
    </row>
    <row r="680" ht="15.75" customHeight="1">
      <c r="A680" s="115"/>
      <c r="B680" s="115"/>
      <c r="C680" s="115"/>
      <c r="D680" s="115"/>
      <c r="E680" s="115"/>
      <c r="F680" s="115"/>
      <c r="G680" s="115"/>
    </row>
    <row r="681" ht="15.75" customHeight="1">
      <c r="A681" s="115"/>
      <c r="B681" s="115"/>
      <c r="C681" s="115"/>
      <c r="D681" s="115"/>
      <c r="E681" s="115"/>
      <c r="F681" s="115"/>
      <c r="G681" s="115"/>
    </row>
    <row r="682" ht="15.75" customHeight="1">
      <c r="A682" s="115"/>
      <c r="B682" s="115"/>
      <c r="C682" s="115"/>
      <c r="D682" s="115"/>
      <c r="E682" s="115"/>
      <c r="F682" s="115"/>
      <c r="G682" s="115"/>
    </row>
    <row r="683" ht="15.75" customHeight="1">
      <c r="A683" s="115"/>
      <c r="B683" s="115"/>
      <c r="C683" s="115"/>
      <c r="D683" s="115"/>
      <c r="E683" s="115"/>
      <c r="F683" s="115"/>
      <c r="G683" s="115"/>
    </row>
    <row r="684" ht="15.75" customHeight="1">
      <c r="A684" s="115"/>
      <c r="B684" s="115"/>
      <c r="C684" s="115"/>
      <c r="D684" s="115"/>
      <c r="E684" s="115"/>
      <c r="F684" s="115"/>
      <c r="G684" s="115"/>
    </row>
    <row r="685" ht="15.75" customHeight="1">
      <c r="A685" s="115"/>
      <c r="B685" s="115"/>
      <c r="C685" s="115"/>
      <c r="D685" s="115"/>
      <c r="E685" s="115"/>
      <c r="F685" s="115"/>
      <c r="G685" s="115"/>
    </row>
    <row r="686" ht="15.75" customHeight="1">
      <c r="A686" s="115"/>
      <c r="B686" s="115"/>
      <c r="C686" s="115"/>
      <c r="D686" s="115"/>
      <c r="E686" s="115"/>
      <c r="F686" s="115"/>
      <c r="G686" s="115"/>
    </row>
    <row r="687" ht="15.75" customHeight="1">
      <c r="A687" s="115"/>
      <c r="B687" s="115"/>
      <c r="C687" s="115"/>
      <c r="D687" s="115"/>
      <c r="E687" s="115"/>
      <c r="F687" s="115"/>
      <c r="G687" s="115"/>
    </row>
    <row r="688" ht="15.75" customHeight="1">
      <c r="A688" s="115"/>
      <c r="B688" s="115"/>
      <c r="C688" s="115"/>
      <c r="D688" s="115"/>
      <c r="E688" s="115"/>
      <c r="F688" s="115"/>
      <c r="G688" s="115"/>
    </row>
    <row r="689" ht="15.75" customHeight="1">
      <c r="A689" s="115"/>
      <c r="B689" s="115"/>
      <c r="C689" s="115"/>
      <c r="D689" s="115"/>
      <c r="E689" s="115"/>
      <c r="F689" s="115"/>
      <c r="G689" s="115"/>
    </row>
    <row r="690" ht="15.75" customHeight="1">
      <c r="A690" s="115"/>
      <c r="B690" s="115"/>
      <c r="C690" s="115"/>
      <c r="D690" s="115"/>
      <c r="E690" s="115"/>
      <c r="F690" s="115"/>
      <c r="G690" s="115"/>
    </row>
    <row r="691" ht="15.75" customHeight="1">
      <c r="A691" s="115"/>
      <c r="B691" s="115"/>
      <c r="C691" s="115"/>
      <c r="D691" s="115"/>
      <c r="E691" s="115"/>
      <c r="F691" s="115"/>
      <c r="G691" s="115"/>
    </row>
    <row r="692" ht="15.75" customHeight="1">
      <c r="A692" s="115"/>
      <c r="B692" s="115"/>
      <c r="C692" s="115"/>
      <c r="D692" s="115"/>
      <c r="E692" s="115"/>
      <c r="F692" s="115"/>
      <c r="G692" s="115"/>
    </row>
    <row r="693" ht="15.75" customHeight="1">
      <c r="A693" s="115"/>
      <c r="B693" s="115"/>
      <c r="C693" s="115"/>
      <c r="D693" s="115"/>
      <c r="E693" s="115"/>
      <c r="F693" s="115"/>
      <c r="G693" s="115"/>
    </row>
    <row r="694" ht="15.75" customHeight="1">
      <c r="A694" s="115"/>
      <c r="B694" s="115"/>
      <c r="C694" s="115"/>
      <c r="D694" s="115"/>
      <c r="E694" s="115"/>
      <c r="F694" s="115"/>
      <c r="G694" s="115"/>
    </row>
    <row r="695" ht="15.75" customHeight="1">
      <c r="A695" s="115"/>
      <c r="B695" s="115"/>
      <c r="C695" s="115"/>
      <c r="D695" s="115"/>
      <c r="E695" s="115"/>
      <c r="F695" s="115"/>
      <c r="G695" s="115"/>
    </row>
    <row r="696" ht="15.75" customHeight="1">
      <c r="A696" s="115"/>
      <c r="B696" s="115"/>
      <c r="C696" s="115"/>
      <c r="D696" s="115"/>
      <c r="E696" s="115"/>
      <c r="F696" s="115"/>
      <c r="G696" s="115"/>
    </row>
    <row r="697" ht="15.75" customHeight="1">
      <c r="A697" s="115"/>
      <c r="B697" s="115"/>
      <c r="C697" s="115"/>
      <c r="D697" s="115"/>
      <c r="E697" s="115"/>
      <c r="F697" s="115"/>
      <c r="G697" s="115"/>
    </row>
    <row r="698" ht="15.75" customHeight="1">
      <c r="A698" s="115"/>
      <c r="B698" s="115"/>
      <c r="C698" s="115"/>
      <c r="D698" s="115"/>
      <c r="E698" s="115"/>
      <c r="F698" s="115"/>
      <c r="G698" s="115"/>
    </row>
    <row r="699" ht="15.75" customHeight="1">
      <c r="A699" s="115"/>
      <c r="B699" s="115"/>
      <c r="C699" s="115"/>
      <c r="D699" s="115"/>
      <c r="E699" s="115"/>
      <c r="F699" s="115"/>
      <c r="G699" s="115"/>
    </row>
    <row r="700" ht="15.75" customHeight="1">
      <c r="A700" s="115"/>
      <c r="B700" s="115"/>
      <c r="C700" s="115"/>
      <c r="D700" s="115"/>
      <c r="E700" s="115"/>
      <c r="F700" s="115"/>
      <c r="G700" s="115"/>
    </row>
    <row r="701" ht="15.75" customHeight="1">
      <c r="A701" s="115"/>
      <c r="B701" s="115"/>
      <c r="C701" s="115"/>
      <c r="D701" s="115"/>
      <c r="E701" s="115"/>
      <c r="F701" s="115"/>
      <c r="G701" s="115"/>
    </row>
    <row r="702" ht="15.75" customHeight="1">
      <c r="A702" s="115"/>
      <c r="B702" s="115"/>
      <c r="C702" s="115"/>
      <c r="D702" s="115"/>
      <c r="E702" s="115"/>
      <c r="F702" s="115"/>
      <c r="G702" s="115"/>
    </row>
    <row r="703" ht="15.75" customHeight="1">
      <c r="A703" s="115"/>
      <c r="B703" s="115"/>
      <c r="C703" s="115"/>
      <c r="D703" s="115"/>
      <c r="E703" s="115"/>
      <c r="F703" s="115"/>
      <c r="G703" s="115"/>
    </row>
    <row r="704" ht="15.75" customHeight="1">
      <c r="A704" s="115"/>
      <c r="B704" s="115"/>
      <c r="C704" s="115"/>
      <c r="D704" s="115"/>
      <c r="E704" s="115"/>
      <c r="F704" s="115"/>
      <c r="G704" s="115"/>
    </row>
    <row r="705" ht="15.75" customHeight="1">
      <c r="A705" s="115"/>
      <c r="B705" s="115"/>
      <c r="C705" s="115"/>
      <c r="D705" s="115"/>
      <c r="E705" s="115"/>
      <c r="F705" s="115"/>
      <c r="G705" s="115"/>
    </row>
    <row r="706" ht="15.75" customHeight="1">
      <c r="A706" s="115"/>
      <c r="B706" s="115"/>
      <c r="C706" s="115"/>
      <c r="D706" s="115"/>
      <c r="E706" s="115"/>
      <c r="F706" s="115"/>
      <c r="G706" s="115"/>
    </row>
    <row r="707" ht="15.75" customHeight="1">
      <c r="A707" s="115"/>
      <c r="B707" s="115"/>
      <c r="C707" s="115"/>
      <c r="D707" s="115"/>
      <c r="E707" s="115"/>
      <c r="F707" s="115"/>
      <c r="G707" s="115"/>
    </row>
    <row r="708" ht="15.75" customHeight="1">
      <c r="A708" s="115"/>
      <c r="B708" s="115"/>
      <c r="C708" s="115"/>
      <c r="D708" s="115"/>
      <c r="E708" s="115"/>
      <c r="F708" s="115"/>
      <c r="G708" s="115"/>
    </row>
    <row r="709" ht="15.75" customHeight="1">
      <c r="A709" s="115"/>
      <c r="B709" s="115"/>
      <c r="C709" s="115"/>
      <c r="D709" s="115"/>
      <c r="E709" s="115"/>
      <c r="F709" s="115"/>
      <c r="G709" s="115"/>
    </row>
    <row r="710" ht="15.75" customHeight="1">
      <c r="A710" s="115"/>
      <c r="B710" s="115"/>
      <c r="C710" s="115"/>
      <c r="D710" s="115"/>
      <c r="E710" s="115"/>
      <c r="F710" s="115"/>
      <c r="G710" s="115"/>
    </row>
    <row r="711" ht="15.75" customHeight="1">
      <c r="A711" s="115"/>
      <c r="B711" s="115"/>
      <c r="C711" s="115"/>
      <c r="D711" s="115"/>
      <c r="E711" s="115"/>
      <c r="F711" s="115"/>
      <c r="G711" s="115"/>
    </row>
    <row r="712" ht="15.75" customHeight="1">
      <c r="A712" s="115"/>
      <c r="B712" s="115"/>
      <c r="C712" s="115"/>
      <c r="D712" s="115"/>
      <c r="E712" s="115"/>
      <c r="F712" s="115"/>
      <c r="G712" s="115"/>
    </row>
    <row r="713" ht="15.75" customHeight="1">
      <c r="A713" s="115"/>
      <c r="B713" s="115"/>
      <c r="C713" s="115"/>
      <c r="D713" s="115"/>
      <c r="E713" s="115"/>
      <c r="F713" s="115"/>
      <c r="G713" s="115"/>
    </row>
    <row r="714" ht="15.75" customHeight="1">
      <c r="A714" s="115"/>
      <c r="B714" s="115"/>
      <c r="C714" s="115"/>
      <c r="D714" s="115"/>
      <c r="E714" s="115"/>
      <c r="F714" s="115"/>
      <c r="G714" s="115"/>
    </row>
    <row r="715" ht="15.75" customHeight="1">
      <c r="A715" s="115"/>
      <c r="B715" s="115"/>
      <c r="C715" s="115"/>
      <c r="D715" s="115"/>
      <c r="E715" s="115"/>
      <c r="F715" s="115"/>
      <c r="G715" s="115"/>
    </row>
    <row r="716" ht="15.75" customHeight="1">
      <c r="A716" s="115"/>
      <c r="B716" s="115"/>
      <c r="C716" s="115"/>
      <c r="D716" s="115"/>
      <c r="E716" s="115"/>
      <c r="F716" s="115"/>
      <c r="G716" s="115"/>
    </row>
    <row r="717" ht="15.75" customHeight="1">
      <c r="A717" s="115"/>
      <c r="B717" s="115"/>
      <c r="C717" s="115"/>
      <c r="D717" s="115"/>
      <c r="E717" s="115"/>
      <c r="F717" s="115"/>
      <c r="G717" s="115"/>
    </row>
    <row r="718" ht="15.75" customHeight="1">
      <c r="A718" s="115"/>
      <c r="B718" s="115"/>
      <c r="C718" s="115"/>
      <c r="D718" s="115"/>
      <c r="E718" s="115"/>
      <c r="F718" s="115"/>
      <c r="G718" s="115"/>
    </row>
    <row r="719" ht="15.75" customHeight="1">
      <c r="A719" s="115"/>
      <c r="B719" s="115"/>
      <c r="C719" s="115"/>
      <c r="D719" s="115"/>
      <c r="E719" s="115"/>
      <c r="F719" s="115"/>
      <c r="G719" s="115"/>
    </row>
    <row r="720" ht="15.75" customHeight="1">
      <c r="A720" s="115"/>
      <c r="B720" s="115"/>
      <c r="C720" s="115"/>
      <c r="D720" s="115"/>
      <c r="E720" s="115"/>
      <c r="F720" s="115"/>
      <c r="G720" s="115"/>
    </row>
    <row r="721" ht="15.75" customHeight="1">
      <c r="A721" s="115"/>
      <c r="B721" s="115"/>
      <c r="C721" s="115"/>
      <c r="D721" s="115"/>
      <c r="E721" s="115"/>
      <c r="F721" s="115"/>
      <c r="G721" s="115"/>
    </row>
    <row r="722" ht="15.75" customHeight="1">
      <c r="A722" s="115"/>
      <c r="B722" s="115"/>
      <c r="C722" s="115"/>
      <c r="D722" s="115"/>
      <c r="E722" s="115"/>
      <c r="F722" s="115"/>
      <c r="G722" s="115"/>
    </row>
    <row r="723" ht="15.75" customHeight="1">
      <c r="A723" s="115"/>
      <c r="B723" s="115"/>
      <c r="C723" s="115"/>
      <c r="D723" s="115"/>
      <c r="E723" s="115"/>
      <c r="F723" s="115"/>
      <c r="G723" s="115"/>
    </row>
    <row r="724" ht="15.75" customHeight="1">
      <c r="A724" s="115"/>
      <c r="B724" s="115"/>
      <c r="C724" s="115"/>
      <c r="D724" s="115"/>
      <c r="E724" s="115"/>
      <c r="F724" s="115"/>
      <c r="G724" s="115"/>
    </row>
    <row r="725" ht="15.75" customHeight="1">
      <c r="A725" s="115"/>
      <c r="B725" s="115"/>
      <c r="C725" s="115"/>
      <c r="D725" s="115"/>
      <c r="E725" s="115"/>
      <c r="F725" s="115"/>
      <c r="G725" s="115"/>
    </row>
    <row r="726" ht="15.75" customHeight="1">
      <c r="A726" s="115"/>
      <c r="B726" s="115"/>
      <c r="C726" s="115"/>
      <c r="D726" s="115"/>
      <c r="E726" s="115"/>
      <c r="F726" s="115"/>
      <c r="G726" s="115"/>
    </row>
    <row r="727" ht="15.75" customHeight="1">
      <c r="A727" s="115"/>
      <c r="B727" s="115"/>
      <c r="C727" s="115"/>
      <c r="D727" s="115"/>
      <c r="E727" s="115"/>
      <c r="F727" s="115"/>
      <c r="G727" s="115"/>
    </row>
    <row r="728" ht="15.75" customHeight="1">
      <c r="A728" s="115"/>
      <c r="B728" s="115"/>
      <c r="C728" s="115"/>
      <c r="D728" s="115"/>
      <c r="E728" s="115"/>
      <c r="F728" s="115"/>
      <c r="G728" s="115"/>
    </row>
    <row r="729" ht="15.75" customHeight="1">
      <c r="A729" s="115"/>
      <c r="B729" s="115"/>
      <c r="C729" s="115"/>
      <c r="D729" s="115"/>
      <c r="E729" s="115"/>
      <c r="F729" s="115"/>
      <c r="G729" s="115"/>
    </row>
    <row r="730" ht="15.75" customHeight="1">
      <c r="A730" s="115"/>
      <c r="B730" s="115"/>
      <c r="C730" s="115"/>
      <c r="D730" s="115"/>
      <c r="E730" s="115"/>
      <c r="F730" s="115"/>
      <c r="G730" s="115"/>
    </row>
    <row r="731" ht="15.75" customHeight="1">
      <c r="A731" s="115"/>
      <c r="B731" s="115"/>
      <c r="C731" s="115"/>
      <c r="D731" s="115"/>
      <c r="E731" s="115"/>
      <c r="F731" s="115"/>
      <c r="G731" s="115"/>
    </row>
    <row r="732" ht="15.75" customHeight="1">
      <c r="A732" s="115"/>
      <c r="B732" s="115"/>
      <c r="C732" s="115"/>
      <c r="D732" s="115"/>
      <c r="E732" s="115"/>
      <c r="F732" s="115"/>
      <c r="G732" s="115"/>
    </row>
    <row r="733" ht="15.75" customHeight="1">
      <c r="A733" s="115"/>
      <c r="B733" s="115"/>
      <c r="C733" s="115"/>
      <c r="D733" s="115"/>
      <c r="E733" s="115"/>
      <c r="F733" s="115"/>
      <c r="G733" s="115"/>
    </row>
    <row r="734" ht="15.75" customHeight="1">
      <c r="A734" s="115"/>
      <c r="B734" s="115"/>
      <c r="C734" s="115"/>
      <c r="D734" s="115"/>
      <c r="E734" s="115"/>
      <c r="F734" s="115"/>
      <c r="G734" s="115"/>
    </row>
    <row r="735" ht="15.75" customHeight="1">
      <c r="A735" s="115"/>
      <c r="B735" s="115"/>
      <c r="C735" s="115"/>
      <c r="D735" s="115"/>
      <c r="E735" s="115"/>
      <c r="F735" s="115"/>
      <c r="G735" s="115"/>
    </row>
    <row r="736" ht="15.75" customHeight="1">
      <c r="A736" s="115"/>
      <c r="B736" s="115"/>
      <c r="C736" s="115"/>
      <c r="D736" s="115"/>
      <c r="E736" s="115"/>
      <c r="F736" s="115"/>
      <c r="G736" s="115"/>
    </row>
    <row r="737" ht="15.75" customHeight="1">
      <c r="A737" s="115"/>
      <c r="B737" s="115"/>
      <c r="C737" s="115"/>
      <c r="D737" s="115"/>
      <c r="E737" s="115"/>
      <c r="F737" s="115"/>
      <c r="G737" s="115"/>
    </row>
    <row r="738" ht="15.75" customHeight="1">
      <c r="A738" s="115"/>
      <c r="B738" s="115"/>
      <c r="C738" s="115"/>
      <c r="D738" s="115"/>
      <c r="E738" s="115"/>
      <c r="F738" s="115"/>
      <c r="G738" s="115"/>
    </row>
    <row r="739" ht="15.75" customHeight="1">
      <c r="A739" s="115"/>
      <c r="B739" s="115"/>
      <c r="C739" s="115"/>
      <c r="D739" s="115"/>
      <c r="E739" s="115"/>
      <c r="F739" s="115"/>
      <c r="G739" s="115"/>
    </row>
    <row r="740" ht="15.75" customHeight="1">
      <c r="A740" s="115"/>
      <c r="B740" s="115"/>
      <c r="C740" s="115"/>
      <c r="D740" s="115"/>
      <c r="E740" s="115"/>
      <c r="F740" s="115"/>
      <c r="G740" s="115"/>
    </row>
    <row r="741" ht="15.75" customHeight="1">
      <c r="A741" s="115"/>
      <c r="B741" s="115"/>
      <c r="C741" s="115"/>
      <c r="D741" s="115"/>
      <c r="E741" s="115"/>
      <c r="F741" s="115"/>
      <c r="G741" s="115"/>
    </row>
    <row r="742" ht="15.75" customHeight="1">
      <c r="A742" s="115"/>
      <c r="B742" s="115"/>
      <c r="C742" s="115"/>
      <c r="D742" s="115"/>
      <c r="E742" s="115"/>
      <c r="F742" s="115"/>
      <c r="G742" s="115"/>
    </row>
    <row r="743" ht="15.75" customHeight="1">
      <c r="A743" s="115"/>
      <c r="B743" s="115"/>
      <c r="C743" s="115"/>
      <c r="D743" s="115"/>
      <c r="E743" s="115"/>
      <c r="F743" s="115"/>
      <c r="G743" s="115"/>
    </row>
    <row r="744" ht="15.75" customHeight="1">
      <c r="A744" s="115"/>
      <c r="B744" s="115"/>
      <c r="C744" s="115"/>
      <c r="D744" s="115"/>
      <c r="E744" s="115"/>
      <c r="F744" s="115"/>
      <c r="G744" s="115"/>
    </row>
    <row r="745" ht="15.75" customHeight="1">
      <c r="A745" s="115"/>
      <c r="B745" s="115"/>
      <c r="C745" s="115"/>
      <c r="D745" s="115"/>
      <c r="E745" s="115"/>
      <c r="F745" s="115"/>
      <c r="G745" s="115"/>
    </row>
    <row r="746" ht="15.75" customHeight="1">
      <c r="A746" s="115"/>
      <c r="B746" s="115"/>
      <c r="C746" s="115"/>
      <c r="D746" s="115"/>
      <c r="E746" s="115"/>
      <c r="F746" s="115"/>
      <c r="G746" s="115"/>
    </row>
    <row r="747" ht="15.75" customHeight="1">
      <c r="A747" s="115"/>
      <c r="B747" s="115"/>
      <c r="C747" s="115"/>
      <c r="D747" s="115"/>
      <c r="E747" s="115"/>
      <c r="F747" s="115"/>
      <c r="G747" s="115"/>
    </row>
    <row r="748" ht="15.75" customHeight="1">
      <c r="A748" s="115"/>
      <c r="B748" s="115"/>
      <c r="C748" s="115"/>
      <c r="D748" s="115"/>
      <c r="E748" s="115"/>
      <c r="F748" s="115"/>
      <c r="G748" s="115"/>
    </row>
    <row r="749" ht="15.75" customHeight="1">
      <c r="A749" s="115"/>
      <c r="B749" s="115"/>
      <c r="C749" s="115"/>
      <c r="D749" s="115"/>
      <c r="E749" s="115"/>
      <c r="F749" s="115"/>
      <c r="G749" s="115"/>
    </row>
    <row r="750" ht="15.75" customHeight="1">
      <c r="A750" s="115"/>
      <c r="B750" s="115"/>
      <c r="C750" s="115"/>
      <c r="D750" s="115"/>
      <c r="E750" s="115"/>
      <c r="F750" s="115"/>
      <c r="G750" s="115"/>
    </row>
    <row r="751" ht="15.75" customHeight="1">
      <c r="A751" s="115"/>
      <c r="B751" s="115"/>
      <c r="C751" s="115"/>
      <c r="D751" s="115"/>
      <c r="E751" s="115"/>
      <c r="F751" s="115"/>
      <c r="G751" s="115"/>
    </row>
    <row r="752" ht="15.75" customHeight="1">
      <c r="A752" s="115"/>
      <c r="B752" s="115"/>
      <c r="C752" s="115"/>
      <c r="D752" s="115"/>
      <c r="E752" s="115"/>
      <c r="F752" s="115"/>
      <c r="G752" s="115"/>
    </row>
    <row r="753" ht="15.75" customHeight="1">
      <c r="A753" s="115"/>
      <c r="B753" s="115"/>
      <c r="C753" s="115"/>
      <c r="D753" s="115"/>
      <c r="E753" s="115"/>
      <c r="F753" s="115"/>
      <c r="G753" s="115"/>
    </row>
    <row r="754" ht="15.75" customHeight="1">
      <c r="A754" s="115"/>
      <c r="B754" s="115"/>
      <c r="C754" s="115"/>
      <c r="D754" s="115"/>
      <c r="E754" s="115"/>
      <c r="F754" s="115"/>
      <c r="G754" s="115"/>
    </row>
    <row r="755" ht="15.75" customHeight="1">
      <c r="A755" s="115"/>
      <c r="B755" s="115"/>
      <c r="C755" s="115"/>
      <c r="D755" s="115"/>
      <c r="E755" s="115"/>
      <c r="F755" s="115"/>
      <c r="G755" s="115"/>
    </row>
    <row r="756" ht="15.75" customHeight="1">
      <c r="A756" s="115"/>
      <c r="B756" s="115"/>
      <c r="C756" s="115"/>
      <c r="D756" s="115"/>
      <c r="E756" s="115"/>
      <c r="F756" s="115"/>
      <c r="G756" s="115"/>
    </row>
    <row r="757" ht="15.75" customHeight="1">
      <c r="A757" s="115"/>
      <c r="B757" s="115"/>
      <c r="C757" s="115"/>
      <c r="D757" s="115"/>
      <c r="E757" s="115"/>
      <c r="F757" s="115"/>
      <c r="G757" s="115"/>
    </row>
    <row r="758" ht="15.75" customHeight="1">
      <c r="A758" s="115"/>
      <c r="B758" s="115"/>
      <c r="C758" s="115"/>
      <c r="D758" s="115"/>
      <c r="E758" s="115"/>
      <c r="F758" s="115"/>
      <c r="G758" s="115"/>
    </row>
    <row r="759" ht="15.75" customHeight="1">
      <c r="A759" s="115"/>
      <c r="B759" s="115"/>
      <c r="C759" s="115"/>
      <c r="D759" s="115"/>
      <c r="E759" s="115"/>
      <c r="F759" s="115"/>
      <c r="G759" s="115"/>
    </row>
    <row r="760" ht="15.75" customHeight="1">
      <c r="A760" s="115"/>
      <c r="B760" s="115"/>
      <c r="C760" s="115"/>
      <c r="D760" s="115"/>
      <c r="E760" s="115"/>
      <c r="F760" s="115"/>
      <c r="G760" s="115"/>
    </row>
    <row r="761" ht="15.75" customHeight="1">
      <c r="A761" s="115"/>
      <c r="B761" s="115"/>
      <c r="C761" s="115"/>
      <c r="D761" s="115"/>
      <c r="E761" s="115"/>
      <c r="F761" s="115"/>
      <c r="G761" s="115"/>
    </row>
    <row r="762" ht="15.75" customHeight="1">
      <c r="A762" s="115"/>
      <c r="B762" s="115"/>
      <c r="C762" s="115"/>
      <c r="D762" s="115"/>
      <c r="E762" s="115"/>
      <c r="F762" s="115"/>
      <c r="G762" s="115"/>
    </row>
    <row r="763" ht="15.75" customHeight="1">
      <c r="A763" s="115"/>
      <c r="B763" s="115"/>
      <c r="C763" s="115"/>
      <c r="D763" s="115"/>
      <c r="E763" s="115"/>
      <c r="F763" s="115"/>
      <c r="G763" s="115"/>
    </row>
    <row r="764" ht="15.75" customHeight="1">
      <c r="A764" s="115"/>
      <c r="B764" s="115"/>
      <c r="C764" s="115"/>
      <c r="D764" s="115"/>
      <c r="E764" s="115"/>
      <c r="F764" s="115"/>
      <c r="G764" s="115"/>
    </row>
    <row r="765" ht="15.75" customHeight="1">
      <c r="A765" s="115"/>
      <c r="B765" s="115"/>
      <c r="C765" s="115"/>
      <c r="D765" s="115"/>
      <c r="E765" s="115"/>
      <c r="F765" s="115"/>
      <c r="G765" s="115"/>
    </row>
    <row r="766" ht="15.75" customHeight="1">
      <c r="A766" s="115"/>
      <c r="B766" s="115"/>
      <c r="C766" s="115"/>
      <c r="D766" s="115"/>
      <c r="E766" s="115"/>
      <c r="F766" s="115"/>
      <c r="G766" s="115"/>
    </row>
    <row r="767" ht="15.75" customHeight="1">
      <c r="A767" s="115"/>
      <c r="B767" s="115"/>
      <c r="C767" s="115"/>
      <c r="D767" s="115"/>
      <c r="E767" s="115"/>
      <c r="F767" s="115"/>
      <c r="G767" s="115"/>
    </row>
    <row r="768" ht="15.75" customHeight="1">
      <c r="A768" s="115"/>
      <c r="B768" s="115"/>
      <c r="C768" s="115"/>
      <c r="D768" s="115"/>
      <c r="E768" s="115"/>
      <c r="F768" s="115"/>
      <c r="G768" s="115"/>
    </row>
    <row r="769" ht="15.75" customHeight="1">
      <c r="A769" s="115"/>
      <c r="B769" s="115"/>
      <c r="C769" s="115"/>
      <c r="D769" s="115"/>
      <c r="E769" s="115"/>
      <c r="F769" s="115"/>
      <c r="G769" s="115"/>
    </row>
    <row r="770" ht="15.75" customHeight="1">
      <c r="A770" s="115"/>
      <c r="B770" s="115"/>
      <c r="C770" s="115"/>
      <c r="D770" s="115"/>
      <c r="E770" s="115"/>
      <c r="F770" s="115"/>
      <c r="G770" s="115"/>
    </row>
    <row r="771" ht="15.75" customHeight="1">
      <c r="A771" s="115"/>
      <c r="B771" s="115"/>
      <c r="C771" s="115"/>
      <c r="D771" s="115"/>
      <c r="E771" s="115"/>
      <c r="F771" s="115"/>
      <c r="G771" s="115"/>
    </row>
    <row r="772" ht="15.75" customHeight="1">
      <c r="A772" s="115"/>
      <c r="B772" s="115"/>
      <c r="C772" s="115"/>
      <c r="D772" s="115"/>
      <c r="E772" s="115"/>
      <c r="F772" s="115"/>
      <c r="G772" s="115"/>
    </row>
    <row r="773" ht="15.75" customHeight="1">
      <c r="A773" s="115"/>
      <c r="B773" s="115"/>
      <c r="C773" s="115"/>
      <c r="D773" s="115"/>
      <c r="E773" s="115"/>
      <c r="F773" s="115"/>
      <c r="G773" s="115"/>
    </row>
    <row r="774" ht="15.75" customHeight="1">
      <c r="A774" s="115"/>
      <c r="B774" s="115"/>
      <c r="C774" s="115"/>
      <c r="D774" s="115"/>
      <c r="E774" s="115"/>
      <c r="F774" s="115"/>
      <c r="G774" s="115"/>
    </row>
    <row r="775" ht="15.75" customHeight="1">
      <c r="A775" s="115"/>
      <c r="B775" s="115"/>
      <c r="C775" s="115"/>
      <c r="D775" s="115"/>
      <c r="E775" s="115"/>
      <c r="F775" s="115"/>
      <c r="G775" s="115"/>
    </row>
    <row r="776" ht="15.75" customHeight="1">
      <c r="A776" s="115"/>
      <c r="B776" s="115"/>
      <c r="C776" s="115"/>
      <c r="D776" s="115"/>
      <c r="E776" s="115"/>
      <c r="F776" s="115"/>
      <c r="G776" s="115"/>
    </row>
    <row r="777" ht="15.75" customHeight="1">
      <c r="A777" s="115"/>
      <c r="B777" s="115"/>
      <c r="C777" s="115"/>
      <c r="D777" s="115"/>
      <c r="E777" s="115"/>
      <c r="F777" s="115"/>
      <c r="G777" s="115"/>
    </row>
    <row r="778" ht="15.75" customHeight="1">
      <c r="A778" s="115"/>
      <c r="B778" s="115"/>
      <c r="C778" s="115"/>
      <c r="D778" s="115"/>
      <c r="E778" s="115"/>
      <c r="F778" s="115"/>
      <c r="G778" s="115"/>
    </row>
    <row r="779" ht="15.75" customHeight="1">
      <c r="A779" s="115"/>
      <c r="B779" s="115"/>
      <c r="C779" s="115"/>
      <c r="D779" s="115"/>
      <c r="E779" s="115"/>
      <c r="F779" s="115"/>
      <c r="G779" s="115"/>
    </row>
    <row r="780" ht="15.75" customHeight="1">
      <c r="A780" s="115"/>
      <c r="B780" s="115"/>
      <c r="C780" s="115"/>
      <c r="D780" s="115"/>
      <c r="E780" s="115"/>
      <c r="F780" s="115"/>
      <c r="G780" s="115"/>
    </row>
    <row r="781" ht="15.75" customHeight="1">
      <c r="A781" s="115"/>
      <c r="B781" s="115"/>
      <c r="C781" s="115"/>
      <c r="D781" s="115"/>
      <c r="E781" s="115"/>
      <c r="F781" s="115"/>
      <c r="G781" s="115"/>
    </row>
    <row r="782" ht="15.75" customHeight="1">
      <c r="A782" s="115"/>
      <c r="B782" s="115"/>
      <c r="C782" s="115"/>
      <c r="D782" s="115"/>
      <c r="E782" s="115"/>
      <c r="F782" s="115"/>
      <c r="G782" s="115"/>
    </row>
    <row r="783" ht="15.75" customHeight="1">
      <c r="A783" s="115"/>
      <c r="B783" s="115"/>
      <c r="C783" s="115"/>
      <c r="D783" s="115"/>
      <c r="E783" s="115"/>
      <c r="F783" s="115"/>
      <c r="G783" s="115"/>
    </row>
    <row r="784" ht="15.75" customHeight="1">
      <c r="A784" s="115"/>
      <c r="B784" s="115"/>
      <c r="C784" s="115"/>
      <c r="D784" s="115"/>
      <c r="E784" s="115"/>
      <c r="F784" s="115"/>
      <c r="G784" s="115"/>
    </row>
    <row r="785" ht="15.75" customHeight="1">
      <c r="A785" s="115"/>
      <c r="B785" s="115"/>
      <c r="C785" s="115"/>
      <c r="D785" s="115"/>
      <c r="E785" s="115"/>
      <c r="F785" s="115"/>
      <c r="G785" s="115"/>
    </row>
    <row r="786" ht="15.75" customHeight="1">
      <c r="A786" s="115"/>
      <c r="B786" s="115"/>
      <c r="C786" s="115"/>
      <c r="D786" s="115"/>
      <c r="E786" s="115"/>
      <c r="F786" s="115"/>
      <c r="G786" s="115"/>
    </row>
    <row r="787" ht="15.75" customHeight="1">
      <c r="A787" s="115"/>
      <c r="B787" s="115"/>
      <c r="C787" s="115"/>
      <c r="D787" s="115"/>
      <c r="E787" s="115"/>
      <c r="F787" s="115"/>
      <c r="G787" s="115"/>
    </row>
    <row r="788" ht="15.75" customHeight="1">
      <c r="A788" s="115"/>
      <c r="B788" s="115"/>
      <c r="C788" s="115"/>
      <c r="D788" s="115"/>
      <c r="E788" s="115"/>
      <c r="F788" s="115"/>
      <c r="G788" s="115"/>
    </row>
    <row r="789" ht="15.75" customHeight="1">
      <c r="A789" s="115"/>
      <c r="B789" s="115"/>
      <c r="C789" s="115"/>
      <c r="D789" s="115"/>
      <c r="E789" s="115"/>
      <c r="F789" s="115"/>
      <c r="G789" s="115"/>
    </row>
    <row r="790" ht="15.75" customHeight="1">
      <c r="A790" s="115"/>
      <c r="B790" s="115"/>
      <c r="C790" s="115"/>
      <c r="D790" s="115"/>
      <c r="E790" s="115"/>
      <c r="F790" s="115"/>
      <c r="G790" s="115"/>
    </row>
    <row r="791" ht="15.75" customHeight="1">
      <c r="A791" s="115"/>
      <c r="B791" s="115"/>
      <c r="C791" s="115"/>
      <c r="D791" s="115"/>
      <c r="E791" s="115"/>
      <c r="F791" s="115"/>
      <c r="G791" s="115"/>
    </row>
    <row r="792" ht="15.75" customHeight="1">
      <c r="A792" s="115"/>
      <c r="B792" s="115"/>
      <c r="C792" s="115"/>
      <c r="D792" s="115"/>
      <c r="E792" s="115"/>
      <c r="F792" s="115"/>
      <c r="G792" s="115"/>
    </row>
    <row r="793" ht="15.75" customHeight="1">
      <c r="A793" s="115"/>
      <c r="B793" s="115"/>
      <c r="C793" s="115"/>
      <c r="D793" s="115"/>
      <c r="E793" s="115"/>
      <c r="F793" s="115"/>
      <c r="G793" s="115"/>
    </row>
    <row r="794" ht="15.75" customHeight="1">
      <c r="A794" s="115"/>
      <c r="B794" s="115"/>
      <c r="C794" s="115"/>
      <c r="D794" s="115"/>
      <c r="E794" s="115"/>
      <c r="F794" s="115"/>
      <c r="G794" s="115"/>
    </row>
    <row r="795" ht="15.75" customHeight="1">
      <c r="A795" s="115"/>
      <c r="B795" s="115"/>
      <c r="C795" s="115"/>
      <c r="D795" s="115"/>
      <c r="E795" s="115"/>
      <c r="F795" s="115"/>
      <c r="G795" s="115"/>
    </row>
    <row r="796" ht="15.75" customHeight="1">
      <c r="A796" s="115"/>
      <c r="B796" s="115"/>
      <c r="C796" s="115"/>
      <c r="D796" s="115"/>
      <c r="E796" s="115"/>
      <c r="F796" s="115"/>
      <c r="G796" s="115"/>
    </row>
    <row r="797" ht="15.75" customHeight="1">
      <c r="A797" s="115"/>
      <c r="B797" s="115"/>
      <c r="C797" s="115"/>
      <c r="D797" s="115"/>
      <c r="E797" s="115"/>
      <c r="F797" s="115"/>
      <c r="G797" s="115"/>
    </row>
    <row r="798" ht="15.75" customHeight="1">
      <c r="A798" s="115"/>
      <c r="B798" s="115"/>
      <c r="C798" s="115"/>
      <c r="D798" s="115"/>
      <c r="E798" s="115"/>
      <c r="F798" s="115"/>
      <c r="G798" s="115"/>
    </row>
    <row r="799" ht="15.75" customHeight="1">
      <c r="A799" s="115"/>
      <c r="B799" s="115"/>
      <c r="C799" s="115"/>
      <c r="D799" s="115"/>
      <c r="E799" s="115"/>
      <c r="F799" s="115"/>
      <c r="G799" s="115"/>
    </row>
    <row r="800" ht="15.75" customHeight="1">
      <c r="A800" s="115"/>
      <c r="B800" s="115"/>
      <c r="C800" s="115"/>
      <c r="D800" s="115"/>
      <c r="E800" s="115"/>
      <c r="F800" s="115"/>
      <c r="G800" s="115"/>
    </row>
    <row r="801" ht="15.75" customHeight="1">
      <c r="A801" s="115"/>
      <c r="B801" s="115"/>
      <c r="C801" s="115"/>
      <c r="D801" s="115"/>
      <c r="E801" s="115"/>
      <c r="F801" s="115"/>
      <c r="G801" s="115"/>
    </row>
    <row r="802" ht="15.75" customHeight="1">
      <c r="A802" s="115"/>
      <c r="B802" s="115"/>
      <c r="C802" s="115"/>
      <c r="D802" s="115"/>
      <c r="E802" s="115"/>
      <c r="F802" s="115"/>
      <c r="G802" s="115"/>
    </row>
    <row r="803" ht="15.75" customHeight="1">
      <c r="A803" s="115"/>
      <c r="B803" s="115"/>
      <c r="C803" s="115"/>
      <c r="D803" s="115"/>
      <c r="E803" s="115"/>
      <c r="F803" s="115"/>
      <c r="G803" s="115"/>
    </row>
    <row r="804" ht="15.75" customHeight="1">
      <c r="A804" s="115"/>
      <c r="B804" s="115"/>
      <c r="C804" s="115"/>
      <c r="D804" s="115"/>
      <c r="E804" s="115"/>
      <c r="F804" s="115"/>
      <c r="G804" s="115"/>
    </row>
    <row r="805" ht="15.75" customHeight="1">
      <c r="A805" s="115"/>
      <c r="B805" s="115"/>
      <c r="C805" s="115"/>
      <c r="D805" s="115"/>
      <c r="E805" s="115"/>
      <c r="F805" s="115"/>
      <c r="G805" s="115"/>
    </row>
    <row r="806" ht="15.75" customHeight="1">
      <c r="A806" s="115"/>
      <c r="B806" s="115"/>
      <c r="C806" s="115"/>
      <c r="D806" s="115"/>
      <c r="E806" s="115"/>
      <c r="F806" s="115"/>
      <c r="G806" s="115"/>
    </row>
    <row r="807" ht="15.75" customHeight="1">
      <c r="A807" s="115"/>
      <c r="B807" s="115"/>
      <c r="C807" s="115"/>
      <c r="D807" s="115"/>
      <c r="E807" s="115"/>
      <c r="F807" s="115"/>
      <c r="G807" s="115"/>
    </row>
    <row r="808" ht="15.75" customHeight="1">
      <c r="A808" s="115"/>
      <c r="B808" s="115"/>
      <c r="C808" s="115"/>
      <c r="D808" s="115"/>
      <c r="E808" s="115"/>
      <c r="F808" s="115"/>
      <c r="G808" s="115"/>
    </row>
    <row r="809" ht="15.75" customHeight="1">
      <c r="A809" s="115"/>
      <c r="B809" s="115"/>
      <c r="C809" s="115"/>
      <c r="D809" s="115"/>
      <c r="E809" s="115"/>
      <c r="F809" s="115"/>
      <c r="G809" s="115"/>
    </row>
    <row r="810" ht="15.75" customHeight="1">
      <c r="A810" s="115"/>
      <c r="B810" s="115"/>
      <c r="C810" s="115"/>
      <c r="D810" s="115"/>
      <c r="E810" s="115"/>
      <c r="F810" s="115"/>
      <c r="G810" s="115"/>
    </row>
    <row r="811" ht="15.75" customHeight="1">
      <c r="A811" s="115"/>
      <c r="B811" s="115"/>
      <c r="C811" s="115"/>
      <c r="D811" s="115"/>
      <c r="E811" s="115"/>
      <c r="F811" s="115"/>
      <c r="G811" s="115"/>
    </row>
    <row r="812" ht="15.75" customHeight="1">
      <c r="A812" s="115"/>
      <c r="B812" s="115"/>
      <c r="C812" s="115"/>
      <c r="D812" s="115"/>
      <c r="E812" s="115"/>
      <c r="F812" s="115"/>
      <c r="G812" s="115"/>
    </row>
    <row r="813" ht="15.75" customHeight="1">
      <c r="A813" s="115"/>
      <c r="B813" s="115"/>
      <c r="C813" s="115"/>
      <c r="D813" s="115"/>
      <c r="E813" s="115"/>
      <c r="F813" s="115"/>
      <c r="G813" s="115"/>
    </row>
    <row r="814" ht="15.75" customHeight="1">
      <c r="A814" s="115"/>
      <c r="B814" s="115"/>
      <c r="C814" s="115"/>
      <c r="D814" s="115"/>
      <c r="E814" s="115"/>
      <c r="F814" s="115"/>
      <c r="G814" s="115"/>
    </row>
    <row r="815" ht="15.75" customHeight="1">
      <c r="A815" s="115"/>
      <c r="B815" s="115"/>
      <c r="C815" s="115"/>
      <c r="D815" s="115"/>
      <c r="E815" s="115"/>
      <c r="F815" s="115"/>
      <c r="G815" s="115"/>
    </row>
    <row r="816" ht="15.75" customHeight="1">
      <c r="A816" s="115"/>
      <c r="B816" s="115"/>
      <c r="C816" s="115"/>
      <c r="D816" s="115"/>
      <c r="E816" s="115"/>
      <c r="F816" s="115"/>
      <c r="G816" s="115"/>
    </row>
    <row r="817" ht="15.75" customHeight="1">
      <c r="A817" s="115"/>
      <c r="B817" s="115"/>
      <c r="C817" s="115"/>
      <c r="D817" s="115"/>
      <c r="E817" s="115"/>
      <c r="F817" s="115"/>
      <c r="G817" s="115"/>
    </row>
    <row r="818" ht="15.75" customHeight="1">
      <c r="A818" s="115"/>
      <c r="B818" s="115"/>
      <c r="C818" s="115"/>
      <c r="D818" s="115"/>
      <c r="E818" s="115"/>
      <c r="F818" s="115"/>
      <c r="G818" s="115"/>
    </row>
    <row r="819" ht="15.75" customHeight="1">
      <c r="A819" s="115"/>
      <c r="B819" s="115"/>
      <c r="C819" s="115"/>
      <c r="D819" s="115"/>
      <c r="E819" s="115"/>
      <c r="F819" s="115"/>
      <c r="G819" s="115"/>
    </row>
    <row r="820" ht="15.75" customHeight="1">
      <c r="A820" s="115"/>
      <c r="B820" s="115"/>
      <c r="C820" s="115"/>
      <c r="D820" s="115"/>
      <c r="E820" s="115"/>
      <c r="F820" s="115"/>
      <c r="G820" s="115"/>
    </row>
    <row r="821" ht="15.75" customHeight="1">
      <c r="A821" s="115"/>
      <c r="B821" s="115"/>
      <c r="C821" s="115"/>
      <c r="D821" s="115"/>
      <c r="E821" s="115"/>
      <c r="F821" s="115"/>
      <c r="G821" s="115"/>
    </row>
    <row r="822" ht="15.75" customHeight="1">
      <c r="A822" s="115"/>
      <c r="B822" s="115"/>
      <c r="C822" s="115"/>
      <c r="D822" s="115"/>
      <c r="E822" s="115"/>
      <c r="F822" s="115"/>
      <c r="G822" s="115"/>
    </row>
    <row r="823" ht="15.75" customHeight="1">
      <c r="A823" s="115"/>
      <c r="B823" s="115"/>
      <c r="C823" s="115"/>
      <c r="D823" s="115"/>
      <c r="E823" s="115"/>
      <c r="F823" s="115"/>
      <c r="G823" s="115"/>
    </row>
    <row r="824" ht="15.75" customHeight="1">
      <c r="A824" s="115"/>
      <c r="B824" s="115"/>
      <c r="C824" s="115"/>
      <c r="D824" s="115"/>
      <c r="E824" s="115"/>
      <c r="F824" s="115"/>
      <c r="G824" s="115"/>
    </row>
    <row r="825" ht="15.75" customHeight="1">
      <c r="A825" s="115"/>
      <c r="B825" s="115"/>
      <c r="C825" s="115"/>
      <c r="D825" s="115"/>
      <c r="E825" s="115"/>
      <c r="F825" s="115"/>
      <c r="G825" s="115"/>
    </row>
    <row r="826" ht="15.75" customHeight="1">
      <c r="A826" s="115"/>
      <c r="B826" s="115"/>
      <c r="C826" s="115"/>
      <c r="D826" s="115"/>
      <c r="E826" s="115"/>
      <c r="F826" s="115"/>
      <c r="G826" s="115"/>
    </row>
    <row r="827" ht="15.75" customHeight="1">
      <c r="A827" s="115"/>
      <c r="B827" s="115"/>
      <c r="C827" s="115"/>
      <c r="D827" s="115"/>
      <c r="E827" s="115"/>
      <c r="F827" s="115"/>
      <c r="G827" s="115"/>
    </row>
    <row r="828" ht="15.75" customHeight="1">
      <c r="A828" s="115"/>
      <c r="B828" s="115"/>
      <c r="C828" s="115"/>
      <c r="D828" s="115"/>
      <c r="E828" s="115"/>
      <c r="F828" s="115"/>
      <c r="G828" s="115"/>
    </row>
    <row r="829" ht="15.75" customHeight="1">
      <c r="A829" s="115"/>
      <c r="B829" s="115"/>
      <c r="C829" s="115"/>
      <c r="D829" s="115"/>
      <c r="E829" s="115"/>
      <c r="F829" s="115"/>
      <c r="G829" s="115"/>
    </row>
    <row r="830" ht="15.75" customHeight="1">
      <c r="A830" s="115"/>
      <c r="B830" s="115"/>
      <c r="C830" s="115"/>
      <c r="D830" s="115"/>
      <c r="E830" s="115"/>
      <c r="F830" s="115"/>
      <c r="G830" s="115"/>
    </row>
    <row r="831" ht="15.75" customHeight="1">
      <c r="A831" s="115"/>
      <c r="B831" s="115"/>
      <c r="C831" s="115"/>
      <c r="D831" s="115"/>
      <c r="E831" s="115"/>
      <c r="F831" s="115"/>
      <c r="G831" s="115"/>
    </row>
    <row r="832" ht="15.75" customHeight="1">
      <c r="A832" s="115"/>
      <c r="B832" s="115"/>
      <c r="C832" s="115"/>
      <c r="D832" s="115"/>
      <c r="E832" s="115"/>
      <c r="F832" s="115"/>
      <c r="G832" s="115"/>
    </row>
    <row r="833" ht="15.75" customHeight="1">
      <c r="A833" s="115"/>
      <c r="B833" s="115"/>
      <c r="C833" s="115"/>
      <c r="D833" s="115"/>
      <c r="E833" s="115"/>
      <c r="F833" s="115"/>
      <c r="G833" s="115"/>
    </row>
    <row r="834" ht="15.75" customHeight="1">
      <c r="A834" s="115"/>
      <c r="B834" s="115"/>
      <c r="C834" s="115"/>
      <c r="D834" s="115"/>
      <c r="E834" s="115"/>
      <c r="F834" s="115"/>
      <c r="G834" s="115"/>
    </row>
    <row r="835" ht="15.75" customHeight="1">
      <c r="A835" s="115"/>
      <c r="B835" s="115"/>
      <c r="C835" s="115"/>
      <c r="D835" s="115"/>
      <c r="E835" s="115"/>
      <c r="F835" s="115"/>
      <c r="G835" s="115"/>
    </row>
    <row r="836" ht="15.75" customHeight="1">
      <c r="A836" s="115"/>
      <c r="B836" s="115"/>
      <c r="C836" s="115"/>
      <c r="D836" s="115"/>
      <c r="E836" s="115"/>
      <c r="F836" s="115"/>
      <c r="G836" s="115"/>
    </row>
    <row r="837" ht="15.75" customHeight="1">
      <c r="A837" s="115"/>
      <c r="B837" s="115"/>
      <c r="C837" s="115"/>
      <c r="D837" s="115"/>
      <c r="E837" s="115"/>
      <c r="F837" s="115"/>
      <c r="G837" s="115"/>
    </row>
    <row r="838" ht="15.75" customHeight="1">
      <c r="A838" s="115"/>
      <c r="B838" s="115"/>
      <c r="C838" s="115"/>
      <c r="D838" s="115"/>
      <c r="E838" s="115"/>
      <c r="F838" s="115"/>
      <c r="G838" s="115"/>
    </row>
    <row r="839" ht="15.75" customHeight="1">
      <c r="A839" s="115"/>
      <c r="B839" s="115"/>
      <c r="C839" s="115"/>
      <c r="D839" s="115"/>
      <c r="E839" s="115"/>
      <c r="F839" s="115"/>
      <c r="G839" s="115"/>
    </row>
    <row r="840" ht="15.75" customHeight="1">
      <c r="A840" s="115"/>
      <c r="B840" s="115"/>
      <c r="C840" s="115"/>
      <c r="D840" s="115"/>
      <c r="E840" s="115"/>
      <c r="F840" s="115"/>
      <c r="G840" s="115"/>
    </row>
    <row r="841" ht="15.75" customHeight="1">
      <c r="A841" s="115"/>
      <c r="B841" s="115"/>
      <c r="C841" s="115"/>
      <c r="D841" s="115"/>
      <c r="E841" s="115"/>
      <c r="F841" s="115"/>
      <c r="G841" s="115"/>
    </row>
    <row r="842" ht="15.75" customHeight="1">
      <c r="A842" s="115"/>
      <c r="B842" s="115"/>
      <c r="C842" s="115"/>
      <c r="D842" s="115"/>
      <c r="E842" s="115"/>
      <c r="F842" s="115"/>
      <c r="G842" s="115"/>
    </row>
    <row r="843" ht="15.75" customHeight="1">
      <c r="A843" s="115"/>
      <c r="B843" s="115"/>
      <c r="C843" s="115"/>
      <c r="D843" s="115"/>
      <c r="E843" s="115"/>
      <c r="F843" s="115"/>
      <c r="G843" s="115"/>
    </row>
    <row r="844" ht="15.75" customHeight="1">
      <c r="A844" s="115"/>
      <c r="B844" s="115"/>
      <c r="C844" s="115"/>
      <c r="D844" s="115"/>
      <c r="E844" s="115"/>
      <c r="F844" s="115"/>
      <c r="G844" s="115"/>
    </row>
    <row r="845" ht="15.75" customHeight="1">
      <c r="A845" s="115"/>
      <c r="B845" s="115"/>
      <c r="C845" s="115"/>
      <c r="D845" s="115"/>
      <c r="E845" s="115"/>
      <c r="F845" s="115"/>
      <c r="G845" s="115"/>
    </row>
    <row r="846" ht="15.75" customHeight="1">
      <c r="A846" s="115"/>
      <c r="B846" s="115"/>
      <c r="C846" s="115"/>
      <c r="D846" s="115"/>
      <c r="E846" s="115"/>
      <c r="F846" s="115"/>
      <c r="G846" s="115"/>
    </row>
    <row r="847" ht="15.75" customHeight="1">
      <c r="A847" s="115"/>
      <c r="B847" s="115"/>
      <c r="C847" s="115"/>
      <c r="D847" s="115"/>
      <c r="E847" s="115"/>
      <c r="F847" s="115"/>
      <c r="G847" s="115"/>
    </row>
    <row r="848" ht="15.75" customHeight="1">
      <c r="A848" s="115"/>
      <c r="B848" s="115"/>
      <c r="C848" s="115"/>
      <c r="D848" s="115"/>
      <c r="E848" s="115"/>
      <c r="F848" s="115"/>
      <c r="G848" s="115"/>
    </row>
    <row r="849" ht="15.75" customHeight="1">
      <c r="A849" s="115"/>
      <c r="B849" s="115"/>
      <c r="C849" s="115"/>
      <c r="D849" s="115"/>
      <c r="E849" s="115"/>
      <c r="F849" s="115"/>
      <c r="G849" s="115"/>
    </row>
    <row r="850" ht="15.75" customHeight="1">
      <c r="A850" s="115"/>
      <c r="B850" s="115"/>
      <c r="C850" s="115"/>
      <c r="D850" s="115"/>
      <c r="E850" s="115"/>
      <c r="F850" s="115"/>
      <c r="G850" s="115"/>
    </row>
    <row r="851" ht="15.75" customHeight="1">
      <c r="A851" s="115"/>
      <c r="B851" s="115"/>
      <c r="C851" s="115"/>
      <c r="D851" s="115"/>
      <c r="E851" s="115"/>
      <c r="F851" s="115"/>
      <c r="G851" s="115"/>
    </row>
    <row r="852" ht="15.75" customHeight="1">
      <c r="A852" s="115"/>
      <c r="B852" s="115"/>
      <c r="C852" s="115"/>
      <c r="D852" s="115"/>
      <c r="E852" s="115"/>
      <c r="F852" s="115"/>
      <c r="G852" s="115"/>
    </row>
    <row r="853" ht="15.75" customHeight="1">
      <c r="A853" s="115"/>
      <c r="B853" s="115"/>
      <c r="C853" s="115"/>
      <c r="D853" s="115"/>
      <c r="E853" s="115"/>
      <c r="F853" s="115"/>
      <c r="G853" s="115"/>
    </row>
    <row r="854" ht="15.75" customHeight="1">
      <c r="A854" s="115"/>
      <c r="B854" s="115"/>
      <c r="C854" s="115"/>
      <c r="D854" s="115"/>
      <c r="E854" s="115"/>
      <c r="F854" s="115"/>
      <c r="G854" s="115"/>
    </row>
    <row r="855" ht="15.75" customHeight="1">
      <c r="A855" s="115"/>
      <c r="B855" s="115"/>
      <c r="C855" s="115"/>
      <c r="D855" s="115"/>
      <c r="E855" s="115"/>
      <c r="F855" s="115"/>
      <c r="G855" s="115"/>
    </row>
    <row r="856" ht="15.75" customHeight="1">
      <c r="A856" s="115"/>
      <c r="B856" s="115"/>
      <c r="C856" s="115"/>
      <c r="D856" s="115"/>
      <c r="E856" s="115"/>
      <c r="F856" s="115"/>
      <c r="G856" s="115"/>
    </row>
    <row r="857" ht="15.75" customHeight="1">
      <c r="A857" s="115"/>
      <c r="B857" s="115"/>
      <c r="C857" s="115"/>
      <c r="D857" s="115"/>
      <c r="E857" s="115"/>
      <c r="F857" s="115"/>
      <c r="G857" s="115"/>
    </row>
    <row r="858" ht="15.75" customHeight="1">
      <c r="A858" s="115"/>
      <c r="B858" s="115"/>
      <c r="C858" s="115"/>
      <c r="D858" s="115"/>
      <c r="E858" s="115"/>
      <c r="F858" s="115"/>
      <c r="G858" s="115"/>
    </row>
    <row r="859" ht="15.75" customHeight="1">
      <c r="A859" s="115"/>
      <c r="B859" s="115"/>
      <c r="C859" s="115"/>
      <c r="D859" s="115"/>
      <c r="E859" s="115"/>
      <c r="F859" s="115"/>
      <c r="G859" s="115"/>
    </row>
    <row r="860" ht="15.75" customHeight="1">
      <c r="A860" s="115"/>
      <c r="B860" s="115"/>
      <c r="C860" s="115"/>
      <c r="D860" s="115"/>
      <c r="E860" s="115"/>
      <c r="F860" s="115"/>
      <c r="G860" s="115"/>
    </row>
    <row r="861" ht="15.75" customHeight="1">
      <c r="A861" s="115"/>
      <c r="B861" s="115"/>
      <c r="C861" s="115"/>
      <c r="D861" s="115"/>
      <c r="E861" s="115"/>
      <c r="F861" s="115"/>
      <c r="G861" s="115"/>
    </row>
    <row r="862" ht="15.75" customHeight="1">
      <c r="A862" s="115"/>
      <c r="B862" s="115"/>
      <c r="C862" s="115"/>
      <c r="D862" s="115"/>
      <c r="E862" s="115"/>
      <c r="F862" s="115"/>
      <c r="G862" s="115"/>
    </row>
    <row r="863" ht="15.75" customHeight="1">
      <c r="A863" s="115"/>
      <c r="B863" s="115"/>
      <c r="C863" s="115"/>
      <c r="D863" s="115"/>
      <c r="E863" s="115"/>
      <c r="F863" s="115"/>
      <c r="G863" s="115"/>
    </row>
    <row r="864" ht="15.75" customHeight="1">
      <c r="A864" s="115"/>
      <c r="B864" s="115"/>
      <c r="C864" s="115"/>
      <c r="D864" s="115"/>
      <c r="E864" s="115"/>
      <c r="F864" s="115"/>
      <c r="G864" s="115"/>
    </row>
    <row r="865" ht="15.75" customHeight="1">
      <c r="A865" s="115"/>
      <c r="B865" s="115"/>
      <c r="C865" s="115"/>
      <c r="D865" s="115"/>
      <c r="E865" s="115"/>
      <c r="F865" s="115"/>
      <c r="G865" s="115"/>
    </row>
    <row r="866" ht="15.75" customHeight="1">
      <c r="A866" s="115"/>
      <c r="B866" s="115"/>
      <c r="C866" s="115"/>
      <c r="D866" s="115"/>
      <c r="E866" s="115"/>
      <c r="F866" s="115"/>
      <c r="G866" s="115"/>
    </row>
    <row r="867" ht="15.75" customHeight="1">
      <c r="A867" s="115"/>
      <c r="B867" s="115"/>
      <c r="C867" s="115"/>
      <c r="D867" s="115"/>
      <c r="E867" s="115"/>
      <c r="F867" s="115"/>
      <c r="G867" s="115"/>
    </row>
    <row r="868" ht="15.75" customHeight="1">
      <c r="A868" s="115"/>
      <c r="B868" s="115"/>
      <c r="C868" s="115"/>
      <c r="D868" s="115"/>
      <c r="E868" s="115"/>
      <c r="F868" s="115"/>
      <c r="G868" s="115"/>
    </row>
    <row r="869" ht="15.75" customHeight="1">
      <c r="A869" s="115"/>
      <c r="B869" s="115"/>
      <c r="C869" s="115"/>
      <c r="D869" s="115"/>
      <c r="E869" s="115"/>
      <c r="F869" s="115"/>
      <c r="G869" s="115"/>
    </row>
    <row r="870" ht="15.75" customHeight="1">
      <c r="A870" s="115"/>
      <c r="B870" s="115"/>
      <c r="C870" s="115"/>
      <c r="D870" s="115"/>
      <c r="E870" s="115"/>
      <c r="F870" s="115"/>
      <c r="G870" s="115"/>
    </row>
    <row r="871" ht="15.75" customHeight="1">
      <c r="A871" s="115"/>
      <c r="B871" s="115"/>
      <c r="C871" s="115"/>
      <c r="D871" s="115"/>
      <c r="E871" s="115"/>
      <c r="F871" s="115"/>
      <c r="G871" s="115"/>
    </row>
    <row r="872" ht="15.75" customHeight="1">
      <c r="A872" s="115"/>
      <c r="B872" s="115"/>
      <c r="C872" s="115"/>
      <c r="D872" s="115"/>
      <c r="E872" s="115"/>
      <c r="F872" s="115"/>
      <c r="G872" s="115"/>
    </row>
    <row r="873" ht="15.75" customHeight="1">
      <c r="A873" s="115"/>
      <c r="B873" s="115"/>
      <c r="C873" s="115"/>
      <c r="D873" s="115"/>
      <c r="E873" s="115"/>
      <c r="F873" s="115"/>
      <c r="G873" s="115"/>
    </row>
    <row r="874" ht="15.75" customHeight="1">
      <c r="A874" s="115"/>
      <c r="B874" s="115"/>
      <c r="C874" s="115"/>
      <c r="D874" s="115"/>
      <c r="E874" s="115"/>
      <c r="F874" s="115"/>
      <c r="G874" s="115"/>
    </row>
    <row r="875" ht="15.75" customHeight="1">
      <c r="A875" s="115"/>
      <c r="B875" s="115"/>
      <c r="C875" s="115"/>
      <c r="D875" s="115"/>
      <c r="E875" s="115"/>
      <c r="F875" s="115"/>
      <c r="G875" s="115"/>
    </row>
    <row r="876" ht="15.75" customHeight="1">
      <c r="A876" s="115"/>
      <c r="B876" s="115"/>
      <c r="C876" s="115"/>
      <c r="D876" s="115"/>
      <c r="E876" s="115"/>
      <c r="F876" s="115"/>
      <c r="G876" s="115"/>
    </row>
    <row r="877" ht="15.75" customHeight="1">
      <c r="A877" s="115"/>
      <c r="B877" s="115"/>
      <c r="C877" s="115"/>
      <c r="D877" s="115"/>
      <c r="E877" s="115"/>
      <c r="F877" s="115"/>
      <c r="G877" s="115"/>
    </row>
    <row r="878" ht="15.75" customHeight="1">
      <c r="A878" s="115"/>
      <c r="B878" s="115"/>
      <c r="C878" s="115"/>
      <c r="D878" s="115"/>
      <c r="E878" s="115"/>
      <c r="F878" s="115"/>
      <c r="G878" s="115"/>
    </row>
    <row r="879" ht="15.75" customHeight="1">
      <c r="A879" s="115"/>
      <c r="B879" s="115"/>
      <c r="C879" s="115"/>
      <c r="D879" s="115"/>
      <c r="E879" s="115"/>
      <c r="F879" s="115"/>
      <c r="G879" s="115"/>
    </row>
    <row r="880" ht="15.75" customHeight="1">
      <c r="A880" s="115"/>
      <c r="B880" s="115"/>
      <c r="C880" s="115"/>
      <c r="D880" s="115"/>
      <c r="E880" s="115"/>
      <c r="F880" s="115"/>
      <c r="G880" s="115"/>
    </row>
    <row r="881" ht="15.75" customHeight="1">
      <c r="A881" s="115"/>
      <c r="B881" s="115"/>
      <c r="C881" s="115"/>
      <c r="D881" s="115"/>
      <c r="E881" s="115"/>
      <c r="F881" s="115"/>
      <c r="G881" s="115"/>
    </row>
    <row r="882" ht="15.75" customHeight="1">
      <c r="A882" s="115"/>
      <c r="B882" s="115"/>
      <c r="C882" s="115"/>
      <c r="D882" s="115"/>
      <c r="E882" s="115"/>
      <c r="F882" s="115"/>
      <c r="G882" s="115"/>
    </row>
    <row r="883" ht="15.75" customHeight="1">
      <c r="A883" s="115"/>
      <c r="B883" s="115"/>
      <c r="C883" s="115"/>
      <c r="D883" s="115"/>
      <c r="E883" s="115"/>
      <c r="F883" s="115"/>
      <c r="G883" s="115"/>
    </row>
    <row r="884" ht="15.75" customHeight="1">
      <c r="A884" s="115"/>
      <c r="B884" s="115"/>
      <c r="C884" s="115"/>
      <c r="D884" s="115"/>
      <c r="E884" s="115"/>
      <c r="F884" s="115"/>
      <c r="G884" s="115"/>
    </row>
    <row r="885" ht="15.75" customHeight="1">
      <c r="A885" s="115"/>
      <c r="B885" s="115"/>
      <c r="C885" s="115"/>
      <c r="D885" s="115"/>
      <c r="E885" s="115"/>
      <c r="F885" s="115"/>
      <c r="G885" s="115"/>
    </row>
    <row r="886" ht="15.75" customHeight="1">
      <c r="A886" s="115"/>
      <c r="B886" s="115"/>
      <c r="C886" s="115"/>
      <c r="D886" s="115"/>
      <c r="E886" s="115"/>
      <c r="F886" s="115"/>
      <c r="G886" s="115"/>
    </row>
    <row r="887" ht="15.75" customHeight="1">
      <c r="A887" s="115"/>
      <c r="B887" s="115"/>
      <c r="C887" s="115"/>
      <c r="D887" s="115"/>
      <c r="E887" s="115"/>
      <c r="F887" s="115"/>
      <c r="G887" s="115"/>
    </row>
    <row r="888" ht="15.75" customHeight="1">
      <c r="A888" s="115"/>
      <c r="B888" s="115"/>
      <c r="C888" s="115"/>
      <c r="D888" s="115"/>
      <c r="E888" s="115"/>
      <c r="F888" s="115"/>
      <c r="G888" s="115"/>
    </row>
    <row r="889" ht="15.75" customHeight="1">
      <c r="A889" s="115"/>
      <c r="B889" s="115"/>
      <c r="C889" s="115"/>
      <c r="D889" s="115"/>
      <c r="E889" s="115"/>
      <c r="F889" s="115"/>
      <c r="G889" s="115"/>
    </row>
    <row r="890" ht="15.75" customHeight="1">
      <c r="A890" s="115"/>
      <c r="B890" s="115"/>
      <c r="C890" s="115"/>
      <c r="D890" s="115"/>
      <c r="E890" s="115"/>
      <c r="F890" s="115"/>
      <c r="G890" s="115"/>
    </row>
    <row r="891" ht="15.75" customHeight="1">
      <c r="A891" s="115"/>
      <c r="B891" s="115"/>
      <c r="C891" s="115"/>
      <c r="D891" s="115"/>
      <c r="E891" s="115"/>
      <c r="F891" s="115"/>
      <c r="G891" s="115"/>
    </row>
    <row r="892" ht="15.75" customHeight="1">
      <c r="A892" s="115"/>
      <c r="B892" s="115"/>
      <c r="C892" s="115"/>
      <c r="D892" s="115"/>
      <c r="E892" s="115"/>
      <c r="F892" s="115"/>
      <c r="G892" s="115"/>
    </row>
    <row r="893" ht="15.75" customHeight="1">
      <c r="A893" s="115"/>
      <c r="B893" s="115"/>
      <c r="C893" s="115"/>
      <c r="D893" s="115"/>
      <c r="E893" s="115"/>
      <c r="F893" s="115"/>
      <c r="G893" s="115"/>
    </row>
    <row r="894" ht="15.75" customHeight="1">
      <c r="A894" s="115"/>
      <c r="B894" s="115"/>
      <c r="C894" s="115"/>
      <c r="D894" s="115"/>
      <c r="E894" s="115"/>
      <c r="F894" s="115"/>
      <c r="G894" s="115"/>
    </row>
    <row r="895" ht="15.75" customHeight="1">
      <c r="A895" s="115"/>
      <c r="B895" s="115"/>
      <c r="C895" s="115"/>
      <c r="D895" s="115"/>
      <c r="E895" s="115"/>
      <c r="F895" s="115"/>
      <c r="G895" s="115"/>
    </row>
    <row r="896" ht="15.75" customHeight="1">
      <c r="A896" s="115"/>
      <c r="B896" s="115"/>
      <c r="C896" s="115"/>
      <c r="D896" s="115"/>
      <c r="E896" s="115"/>
      <c r="F896" s="115"/>
      <c r="G896" s="115"/>
    </row>
    <row r="897" ht="15.75" customHeight="1">
      <c r="A897" s="115"/>
      <c r="B897" s="115"/>
      <c r="C897" s="115"/>
      <c r="D897" s="115"/>
      <c r="E897" s="115"/>
      <c r="F897" s="115"/>
      <c r="G897" s="115"/>
    </row>
    <row r="898" ht="15.75" customHeight="1">
      <c r="A898" s="115"/>
      <c r="B898" s="115"/>
      <c r="C898" s="115"/>
      <c r="D898" s="115"/>
      <c r="E898" s="115"/>
      <c r="F898" s="115"/>
      <c r="G898" s="115"/>
    </row>
    <row r="899" ht="15.75" customHeight="1">
      <c r="A899" s="115"/>
      <c r="B899" s="115"/>
      <c r="C899" s="115"/>
      <c r="D899" s="115"/>
      <c r="E899" s="115"/>
      <c r="F899" s="115"/>
      <c r="G899" s="115"/>
    </row>
    <row r="900" ht="15.75" customHeight="1">
      <c r="A900" s="115"/>
      <c r="B900" s="115"/>
      <c r="C900" s="115"/>
      <c r="D900" s="115"/>
      <c r="E900" s="115"/>
      <c r="F900" s="115"/>
      <c r="G900" s="115"/>
    </row>
    <row r="901" ht="15.75" customHeight="1">
      <c r="A901" s="115"/>
      <c r="B901" s="115"/>
      <c r="C901" s="115"/>
      <c r="D901" s="115"/>
      <c r="E901" s="115"/>
      <c r="F901" s="115"/>
      <c r="G901" s="115"/>
    </row>
    <row r="902" ht="15.75" customHeight="1">
      <c r="A902" s="115"/>
      <c r="B902" s="115"/>
      <c r="C902" s="115"/>
      <c r="D902" s="115"/>
      <c r="E902" s="115"/>
      <c r="F902" s="115"/>
      <c r="G902" s="115"/>
    </row>
    <row r="903" ht="15.75" customHeight="1">
      <c r="A903" s="115"/>
      <c r="B903" s="115"/>
      <c r="C903" s="115"/>
      <c r="D903" s="115"/>
      <c r="E903" s="115"/>
      <c r="F903" s="115"/>
      <c r="G903" s="115"/>
    </row>
    <row r="904" ht="15.75" customHeight="1">
      <c r="A904" s="115"/>
      <c r="B904" s="115"/>
      <c r="C904" s="115"/>
      <c r="D904" s="115"/>
      <c r="E904" s="115"/>
      <c r="F904" s="115"/>
      <c r="G904" s="115"/>
    </row>
    <row r="905" ht="15.75" customHeight="1">
      <c r="A905" s="115"/>
      <c r="B905" s="115"/>
      <c r="C905" s="115"/>
      <c r="D905" s="115"/>
      <c r="E905" s="115"/>
      <c r="F905" s="115"/>
      <c r="G905" s="115"/>
    </row>
    <row r="906" ht="15.75" customHeight="1">
      <c r="A906" s="115"/>
      <c r="B906" s="115"/>
      <c r="C906" s="115"/>
      <c r="D906" s="115"/>
      <c r="E906" s="115"/>
      <c r="F906" s="115"/>
      <c r="G906" s="115"/>
    </row>
    <row r="907" ht="15.75" customHeight="1">
      <c r="A907" s="115"/>
      <c r="B907" s="115"/>
      <c r="C907" s="115"/>
      <c r="D907" s="115"/>
      <c r="E907" s="115"/>
      <c r="F907" s="115"/>
      <c r="G907" s="115"/>
    </row>
    <row r="908" ht="15.75" customHeight="1">
      <c r="A908" s="115"/>
      <c r="B908" s="115"/>
      <c r="C908" s="115"/>
      <c r="D908" s="115"/>
      <c r="E908" s="115"/>
      <c r="F908" s="115"/>
      <c r="G908" s="115"/>
    </row>
    <row r="909" ht="15.75" customHeight="1">
      <c r="A909" s="115"/>
      <c r="B909" s="115"/>
      <c r="C909" s="115"/>
      <c r="D909" s="115"/>
      <c r="E909" s="115"/>
      <c r="F909" s="115"/>
      <c r="G909" s="115"/>
    </row>
    <row r="910" ht="15.75" customHeight="1">
      <c r="A910" s="115"/>
      <c r="B910" s="115"/>
      <c r="C910" s="115"/>
      <c r="D910" s="115"/>
      <c r="E910" s="115"/>
      <c r="F910" s="115"/>
      <c r="G910" s="115"/>
    </row>
    <row r="911" ht="15.75" customHeight="1">
      <c r="A911" s="115"/>
      <c r="B911" s="115"/>
      <c r="C911" s="115"/>
      <c r="D911" s="115"/>
      <c r="E911" s="115"/>
      <c r="F911" s="115"/>
      <c r="G911" s="115"/>
    </row>
    <row r="912" ht="15.75" customHeight="1">
      <c r="A912" s="115"/>
      <c r="B912" s="115"/>
      <c r="C912" s="115"/>
      <c r="D912" s="115"/>
      <c r="E912" s="115"/>
      <c r="F912" s="115"/>
      <c r="G912" s="115"/>
    </row>
    <row r="913" ht="15.75" customHeight="1">
      <c r="A913" s="115"/>
      <c r="B913" s="115"/>
      <c r="C913" s="115"/>
      <c r="D913" s="115"/>
      <c r="E913" s="115"/>
      <c r="F913" s="115"/>
      <c r="G913" s="115"/>
    </row>
    <row r="914" ht="15.75" customHeight="1">
      <c r="A914" s="115"/>
      <c r="B914" s="115"/>
      <c r="C914" s="115"/>
      <c r="D914" s="115"/>
      <c r="E914" s="115"/>
      <c r="F914" s="115"/>
      <c r="G914" s="115"/>
    </row>
    <row r="915" ht="15.75" customHeight="1">
      <c r="A915" s="115"/>
      <c r="B915" s="115"/>
      <c r="C915" s="115"/>
      <c r="D915" s="115"/>
      <c r="E915" s="115"/>
      <c r="F915" s="115"/>
      <c r="G915" s="115"/>
    </row>
    <row r="916" ht="15.75" customHeight="1">
      <c r="A916" s="115"/>
      <c r="B916" s="115"/>
      <c r="C916" s="115"/>
      <c r="D916" s="115"/>
      <c r="E916" s="115"/>
      <c r="F916" s="115"/>
      <c r="G916" s="115"/>
    </row>
    <row r="917" ht="15.75" customHeight="1">
      <c r="A917" s="115"/>
      <c r="B917" s="115"/>
      <c r="C917" s="115"/>
      <c r="D917" s="115"/>
      <c r="E917" s="115"/>
      <c r="F917" s="115"/>
      <c r="G917" s="115"/>
    </row>
    <row r="918" ht="15.75" customHeight="1">
      <c r="A918" s="115"/>
      <c r="B918" s="115"/>
      <c r="C918" s="115"/>
      <c r="D918" s="115"/>
      <c r="E918" s="115"/>
      <c r="F918" s="115"/>
      <c r="G918" s="115"/>
    </row>
    <row r="919" ht="15.75" customHeight="1">
      <c r="A919" s="115"/>
      <c r="B919" s="115"/>
      <c r="C919" s="115"/>
      <c r="D919" s="115"/>
      <c r="E919" s="115"/>
      <c r="F919" s="115"/>
      <c r="G919" s="115"/>
    </row>
    <row r="920" ht="15.75" customHeight="1">
      <c r="A920" s="115"/>
      <c r="B920" s="115"/>
      <c r="C920" s="115"/>
      <c r="D920" s="115"/>
      <c r="E920" s="115"/>
      <c r="F920" s="115"/>
      <c r="G920" s="115"/>
    </row>
    <row r="921" ht="15.75" customHeight="1">
      <c r="A921" s="115"/>
      <c r="B921" s="115"/>
      <c r="C921" s="115"/>
      <c r="D921" s="115"/>
      <c r="E921" s="115"/>
      <c r="F921" s="115"/>
      <c r="G921" s="115"/>
    </row>
    <row r="922" ht="15.75" customHeight="1">
      <c r="A922" s="115"/>
      <c r="B922" s="115"/>
      <c r="C922" s="115"/>
      <c r="D922" s="115"/>
      <c r="E922" s="115"/>
      <c r="F922" s="115"/>
      <c r="G922" s="115"/>
    </row>
    <row r="923" ht="15.75" customHeight="1">
      <c r="A923" s="115"/>
      <c r="B923" s="115"/>
      <c r="C923" s="115"/>
      <c r="D923" s="115"/>
      <c r="E923" s="115"/>
      <c r="F923" s="115"/>
      <c r="G923" s="115"/>
    </row>
    <row r="924" ht="15.75" customHeight="1">
      <c r="A924" s="115"/>
      <c r="B924" s="115"/>
      <c r="C924" s="115"/>
      <c r="D924" s="115"/>
      <c r="E924" s="115"/>
      <c r="F924" s="115"/>
      <c r="G924" s="115"/>
    </row>
    <row r="925" ht="15.75" customHeight="1">
      <c r="A925" s="115"/>
      <c r="B925" s="115"/>
      <c r="C925" s="115"/>
      <c r="D925" s="115"/>
      <c r="E925" s="115"/>
      <c r="F925" s="115"/>
      <c r="G925" s="115"/>
    </row>
    <row r="926" ht="15.75" customHeight="1">
      <c r="A926" s="115"/>
      <c r="B926" s="115"/>
      <c r="C926" s="115"/>
      <c r="D926" s="115"/>
      <c r="E926" s="115"/>
      <c r="F926" s="115"/>
      <c r="G926" s="115"/>
    </row>
    <row r="927" ht="15.75" customHeight="1">
      <c r="A927" s="115"/>
      <c r="B927" s="115"/>
      <c r="C927" s="115"/>
      <c r="D927" s="115"/>
      <c r="E927" s="115"/>
      <c r="F927" s="115"/>
      <c r="G927" s="115"/>
    </row>
    <row r="928" ht="15.75" customHeight="1">
      <c r="A928" s="115"/>
      <c r="B928" s="115"/>
      <c r="C928" s="115"/>
      <c r="D928" s="115"/>
      <c r="E928" s="115"/>
      <c r="F928" s="115"/>
      <c r="G928" s="115"/>
    </row>
    <row r="929" ht="15.75" customHeight="1">
      <c r="A929" s="115"/>
      <c r="B929" s="115"/>
      <c r="C929" s="115"/>
      <c r="D929" s="115"/>
      <c r="E929" s="115"/>
      <c r="F929" s="115"/>
      <c r="G929" s="115"/>
    </row>
    <row r="930" ht="15.75" customHeight="1">
      <c r="A930" s="115"/>
      <c r="B930" s="115"/>
      <c r="C930" s="115"/>
      <c r="D930" s="115"/>
      <c r="E930" s="115"/>
      <c r="F930" s="115"/>
      <c r="G930" s="115"/>
    </row>
    <row r="931" ht="15.75" customHeight="1">
      <c r="A931" s="115"/>
      <c r="B931" s="115"/>
      <c r="C931" s="115"/>
      <c r="D931" s="115"/>
      <c r="E931" s="115"/>
      <c r="F931" s="115"/>
      <c r="G931" s="115"/>
    </row>
    <row r="932" ht="15.75" customHeight="1">
      <c r="A932" s="115"/>
      <c r="B932" s="115"/>
      <c r="C932" s="115"/>
      <c r="D932" s="115"/>
      <c r="E932" s="115"/>
      <c r="F932" s="115"/>
      <c r="G932" s="115"/>
    </row>
    <row r="933" ht="15.75" customHeight="1">
      <c r="A933" s="115"/>
      <c r="B933" s="115"/>
      <c r="C933" s="115"/>
      <c r="D933" s="115"/>
      <c r="E933" s="115"/>
      <c r="F933" s="115"/>
      <c r="G933" s="115"/>
    </row>
    <row r="934" ht="15.75" customHeight="1">
      <c r="A934" s="115"/>
      <c r="B934" s="115"/>
      <c r="C934" s="115"/>
      <c r="D934" s="115"/>
      <c r="E934" s="115"/>
      <c r="F934" s="115"/>
      <c r="G934" s="115"/>
    </row>
    <row r="935" ht="15.75" customHeight="1">
      <c r="A935" s="115"/>
      <c r="B935" s="115"/>
      <c r="C935" s="115"/>
      <c r="D935" s="115"/>
      <c r="E935" s="115"/>
      <c r="F935" s="115"/>
      <c r="G935" s="115"/>
    </row>
    <row r="936" ht="15.75" customHeight="1">
      <c r="A936" s="115"/>
      <c r="B936" s="115"/>
      <c r="C936" s="115"/>
      <c r="D936" s="115"/>
      <c r="E936" s="115"/>
      <c r="F936" s="115"/>
      <c r="G936" s="115"/>
    </row>
    <row r="937" ht="15.75" customHeight="1">
      <c r="A937" s="115"/>
      <c r="B937" s="115"/>
      <c r="C937" s="115"/>
      <c r="D937" s="115"/>
      <c r="E937" s="115"/>
      <c r="F937" s="115"/>
      <c r="G937" s="115"/>
    </row>
    <row r="938" ht="15.75" customHeight="1">
      <c r="A938" s="115"/>
      <c r="B938" s="115"/>
      <c r="C938" s="115"/>
      <c r="D938" s="115"/>
      <c r="E938" s="115"/>
      <c r="F938" s="115"/>
      <c r="G938" s="115"/>
    </row>
    <row r="939" ht="15.75" customHeight="1">
      <c r="A939" s="115"/>
      <c r="B939" s="115"/>
      <c r="C939" s="115"/>
      <c r="D939" s="115"/>
      <c r="E939" s="115"/>
      <c r="F939" s="115"/>
      <c r="G939" s="115"/>
    </row>
    <row r="940" ht="15.75" customHeight="1">
      <c r="A940" s="115"/>
      <c r="B940" s="115"/>
      <c r="C940" s="115"/>
      <c r="D940" s="115"/>
      <c r="E940" s="115"/>
      <c r="F940" s="115"/>
      <c r="G940" s="115"/>
    </row>
    <row r="941" ht="15.75" customHeight="1">
      <c r="A941" s="115"/>
      <c r="B941" s="115"/>
      <c r="C941" s="115"/>
      <c r="D941" s="115"/>
      <c r="E941" s="115"/>
      <c r="F941" s="115"/>
      <c r="G941" s="115"/>
    </row>
    <row r="942" ht="15.75" customHeight="1">
      <c r="A942" s="115"/>
      <c r="B942" s="115"/>
      <c r="C942" s="115"/>
      <c r="D942" s="115"/>
      <c r="E942" s="115"/>
      <c r="F942" s="115"/>
      <c r="G942" s="115"/>
    </row>
    <row r="943" ht="15.75" customHeight="1">
      <c r="A943" s="115"/>
      <c r="B943" s="115"/>
      <c r="C943" s="115"/>
      <c r="D943" s="115"/>
      <c r="E943" s="115"/>
      <c r="F943" s="115"/>
      <c r="G943" s="115"/>
    </row>
    <row r="944" ht="15.75" customHeight="1">
      <c r="A944" s="115"/>
      <c r="B944" s="115"/>
      <c r="C944" s="115"/>
      <c r="D944" s="115"/>
      <c r="E944" s="115"/>
      <c r="F944" s="115"/>
      <c r="G944" s="115"/>
    </row>
    <row r="945" ht="15.75" customHeight="1">
      <c r="A945" s="115"/>
      <c r="B945" s="115"/>
      <c r="C945" s="115"/>
      <c r="D945" s="115"/>
      <c r="E945" s="115"/>
      <c r="F945" s="115"/>
      <c r="G945" s="115"/>
    </row>
    <row r="946" ht="15.75" customHeight="1">
      <c r="A946" s="115"/>
      <c r="B946" s="115"/>
      <c r="C946" s="115"/>
      <c r="D946" s="115"/>
      <c r="E946" s="115"/>
      <c r="F946" s="115"/>
      <c r="G946" s="115"/>
    </row>
    <row r="947" ht="15.75" customHeight="1">
      <c r="A947" s="115"/>
      <c r="B947" s="115"/>
      <c r="C947" s="115"/>
      <c r="D947" s="115"/>
      <c r="E947" s="115"/>
      <c r="F947" s="115"/>
      <c r="G947" s="115"/>
    </row>
    <row r="948" ht="15.75" customHeight="1">
      <c r="A948" s="115"/>
      <c r="B948" s="115"/>
      <c r="C948" s="115"/>
      <c r="D948" s="115"/>
      <c r="E948" s="115"/>
      <c r="F948" s="115"/>
      <c r="G948" s="115"/>
    </row>
    <row r="949" ht="15.75" customHeight="1">
      <c r="A949" s="115"/>
      <c r="B949" s="115"/>
      <c r="C949" s="115"/>
      <c r="D949" s="115"/>
      <c r="E949" s="115"/>
      <c r="F949" s="115"/>
      <c r="G949" s="115"/>
    </row>
    <row r="950" ht="15.75" customHeight="1">
      <c r="A950" s="115"/>
      <c r="B950" s="115"/>
      <c r="C950" s="115"/>
      <c r="D950" s="115"/>
      <c r="E950" s="115"/>
      <c r="F950" s="115"/>
      <c r="G950" s="115"/>
    </row>
    <row r="951" ht="15.75" customHeight="1">
      <c r="A951" s="115"/>
      <c r="B951" s="115"/>
      <c r="C951" s="115"/>
      <c r="D951" s="115"/>
      <c r="E951" s="115"/>
      <c r="F951" s="115"/>
      <c r="G951" s="115"/>
    </row>
    <row r="952" ht="15.75" customHeight="1">
      <c r="A952" s="115"/>
      <c r="B952" s="115"/>
      <c r="C952" s="115"/>
      <c r="D952" s="115"/>
      <c r="E952" s="115"/>
      <c r="F952" s="115"/>
      <c r="G952" s="115"/>
    </row>
    <row r="953" ht="15.75" customHeight="1">
      <c r="A953" s="115"/>
      <c r="B953" s="115"/>
      <c r="C953" s="115"/>
      <c r="D953" s="115"/>
      <c r="E953" s="115"/>
      <c r="F953" s="115"/>
      <c r="G953" s="115"/>
    </row>
    <row r="954" ht="15.75" customHeight="1">
      <c r="A954" s="115"/>
      <c r="B954" s="115"/>
      <c r="C954" s="115"/>
      <c r="D954" s="115"/>
      <c r="E954" s="115"/>
      <c r="F954" s="115"/>
      <c r="G954" s="115"/>
    </row>
    <row r="955" ht="15.75" customHeight="1">
      <c r="A955" s="115"/>
      <c r="B955" s="115"/>
      <c r="C955" s="115"/>
      <c r="D955" s="115"/>
      <c r="E955" s="115"/>
      <c r="F955" s="115"/>
      <c r="G955" s="115"/>
    </row>
    <row r="956" ht="15.75" customHeight="1">
      <c r="A956" s="115"/>
      <c r="B956" s="115"/>
      <c r="C956" s="115"/>
      <c r="D956" s="115"/>
      <c r="E956" s="115"/>
      <c r="F956" s="115"/>
      <c r="G956" s="115"/>
    </row>
    <row r="957" ht="15.75" customHeight="1">
      <c r="A957" s="115"/>
      <c r="B957" s="115"/>
      <c r="C957" s="115"/>
      <c r="D957" s="115"/>
      <c r="E957" s="115"/>
      <c r="F957" s="115"/>
      <c r="G957" s="115"/>
    </row>
    <row r="958" ht="15.75" customHeight="1">
      <c r="A958" s="115"/>
      <c r="B958" s="115"/>
      <c r="C958" s="115"/>
      <c r="D958" s="115"/>
      <c r="E958" s="115"/>
      <c r="F958" s="115"/>
      <c r="G958" s="115"/>
    </row>
    <row r="959" ht="15.75" customHeight="1">
      <c r="A959" s="115"/>
      <c r="B959" s="115"/>
      <c r="C959" s="115"/>
      <c r="D959" s="115"/>
      <c r="E959" s="115"/>
      <c r="F959" s="115"/>
      <c r="G959" s="115"/>
    </row>
    <row r="960" ht="15.75" customHeight="1">
      <c r="A960" s="115"/>
      <c r="B960" s="115"/>
      <c r="C960" s="115"/>
      <c r="D960" s="115"/>
      <c r="E960" s="115"/>
      <c r="F960" s="115"/>
      <c r="G960" s="115"/>
    </row>
    <row r="961" ht="15.75" customHeight="1">
      <c r="A961" s="115"/>
      <c r="B961" s="115"/>
      <c r="C961" s="115"/>
      <c r="D961" s="115"/>
      <c r="E961" s="115"/>
      <c r="F961" s="115"/>
      <c r="G961" s="115"/>
    </row>
    <row r="962" ht="15.75" customHeight="1">
      <c r="A962" s="115"/>
      <c r="B962" s="115"/>
      <c r="C962" s="115"/>
      <c r="D962" s="115"/>
      <c r="E962" s="115"/>
      <c r="F962" s="115"/>
      <c r="G962" s="115"/>
    </row>
    <row r="963" ht="15.75" customHeight="1">
      <c r="A963" s="115"/>
      <c r="B963" s="115"/>
      <c r="C963" s="115"/>
      <c r="D963" s="115"/>
      <c r="E963" s="115"/>
      <c r="F963" s="115"/>
      <c r="G963" s="115"/>
    </row>
    <row r="964" ht="15.75" customHeight="1">
      <c r="A964" s="115"/>
      <c r="B964" s="115"/>
      <c r="C964" s="115"/>
      <c r="D964" s="115"/>
      <c r="E964" s="115"/>
      <c r="F964" s="115"/>
      <c r="G964" s="115"/>
    </row>
    <row r="965" ht="15.75" customHeight="1">
      <c r="A965" s="115"/>
      <c r="B965" s="115"/>
      <c r="C965" s="115"/>
      <c r="D965" s="115"/>
      <c r="E965" s="115"/>
      <c r="F965" s="115"/>
      <c r="G965" s="115"/>
    </row>
    <row r="966" ht="15.75" customHeight="1">
      <c r="A966" s="115"/>
      <c r="B966" s="115"/>
      <c r="C966" s="115"/>
      <c r="D966" s="115"/>
      <c r="E966" s="115"/>
      <c r="F966" s="115"/>
      <c r="G966" s="115"/>
    </row>
    <row r="967" ht="15.75" customHeight="1">
      <c r="A967" s="115"/>
      <c r="B967" s="115"/>
      <c r="C967" s="115"/>
      <c r="D967" s="115"/>
      <c r="E967" s="115"/>
      <c r="F967" s="115"/>
      <c r="G967" s="115"/>
    </row>
    <row r="968" ht="15.75" customHeight="1">
      <c r="A968" s="115"/>
      <c r="B968" s="115"/>
      <c r="C968" s="115"/>
      <c r="D968" s="115"/>
      <c r="E968" s="115"/>
      <c r="F968" s="115"/>
      <c r="G968" s="115"/>
    </row>
    <row r="969" ht="15.75" customHeight="1">
      <c r="A969" s="115"/>
      <c r="B969" s="115"/>
      <c r="C969" s="115"/>
      <c r="D969" s="115"/>
      <c r="E969" s="115"/>
      <c r="F969" s="115"/>
      <c r="G969" s="115"/>
    </row>
    <row r="970" ht="15.75" customHeight="1">
      <c r="A970" s="115"/>
      <c r="B970" s="115"/>
      <c r="C970" s="115"/>
      <c r="D970" s="115"/>
      <c r="E970" s="115"/>
      <c r="F970" s="115"/>
      <c r="G970" s="115"/>
    </row>
    <row r="971" ht="15.75" customHeight="1">
      <c r="A971" s="115"/>
      <c r="B971" s="115"/>
      <c r="C971" s="115"/>
      <c r="D971" s="115"/>
      <c r="E971" s="115"/>
      <c r="F971" s="115"/>
      <c r="G971" s="115"/>
    </row>
    <row r="972" ht="15.75" customHeight="1">
      <c r="A972" s="115"/>
      <c r="B972" s="115"/>
      <c r="C972" s="115"/>
      <c r="D972" s="115"/>
      <c r="E972" s="115"/>
      <c r="F972" s="115"/>
      <c r="G972" s="115"/>
    </row>
    <row r="973" ht="15.75" customHeight="1">
      <c r="A973" s="115"/>
      <c r="B973" s="115"/>
      <c r="C973" s="115"/>
      <c r="D973" s="115"/>
      <c r="E973" s="115"/>
      <c r="F973" s="115"/>
      <c r="G973" s="115"/>
    </row>
    <row r="974" ht="15.75" customHeight="1">
      <c r="A974" s="115"/>
      <c r="B974" s="115"/>
      <c r="C974" s="115"/>
      <c r="D974" s="115"/>
      <c r="E974" s="115"/>
      <c r="F974" s="115"/>
      <c r="G974" s="115"/>
    </row>
    <row r="975" ht="15.75" customHeight="1">
      <c r="A975" s="115"/>
      <c r="B975" s="115"/>
      <c r="C975" s="115"/>
      <c r="D975" s="115"/>
      <c r="E975" s="115"/>
      <c r="F975" s="115"/>
      <c r="G975" s="115"/>
    </row>
    <row r="976" ht="15.75" customHeight="1">
      <c r="A976" s="115"/>
      <c r="B976" s="115"/>
      <c r="C976" s="115"/>
      <c r="D976" s="115"/>
      <c r="E976" s="115"/>
      <c r="F976" s="115"/>
      <c r="G976" s="115"/>
    </row>
    <row r="977" ht="15.75" customHeight="1">
      <c r="A977" s="115"/>
      <c r="B977" s="115"/>
      <c r="C977" s="115"/>
      <c r="D977" s="115"/>
      <c r="E977" s="115"/>
      <c r="F977" s="115"/>
      <c r="G977" s="115"/>
    </row>
    <row r="978" ht="15.75" customHeight="1">
      <c r="A978" s="115"/>
      <c r="B978" s="115"/>
      <c r="C978" s="115"/>
      <c r="D978" s="115"/>
      <c r="E978" s="115"/>
      <c r="F978" s="115"/>
      <c r="G978" s="115"/>
    </row>
    <row r="979" ht="15.75" customHeight="1">
      <c r="A979" s="115"/>
      <c r="B979" s="115"/>
      <c r="C979" s="115"/>
      <c r="D979" s="115"/>
      <c r="E979" s="115"/>
      <c r="F979" s="115"/>
      <c r="G979" s="115"/>
    </row>
    <row r="980" ht="15.75" customHeight="1">
      <c r="A980" s="115"/>
      <c r="B980" s="115"/>
      <c r="C980" s="115"/>
      <c r="D980" s="115"/>
      <c r="E980" s="115"/>
      <c r="F980" s="115"/>
      <c r="G980" s="115"/>
    </row>
    <row r="981" ht="15.75" customHeight="1">
      <c r="A981" s="115"/>
      <c r="B981" s="115"/>
      <c r="C981" s="115"/>
      <c r="D981" s="115"/>
      <c r="E981" s="115"/>
      <c r="F981" s="115"/>
      <c r="G981" s="115"/>
    </row>
    <row r="982" ht="15.75" customHeight="1">
      <c r="A982" s="115"/>
      <c r="B982" s="115"/>
      <c r="C982" s="115"/>
      <c r="D982" s="115"/>
      <c r="E982" s="115"/>
      <c r="F982" s="115"/>
      <c r="G982" s="115"/>
    </row>
    <row r="983" ht="15.75" customHeight="1">
      <c r="A983" s="115"/>
      <c r="B983" s="115"/>
      <c r="C983" s="115"/>
      <c r="D983" s="115"/>
      <c r="E983" s="115"/>
      <c r="F983" s="115"/>
      <c r="G983" s="115"/>
    </row>
    <row r="984" ht="15.75" customHeight="1">
      <c r="A984" s="115"/>
      <c r="B984" s="115"/>
      <c r="C984" s="115"/>
      <c r="D984" s="115"/>
      <c r="E984" s="115"/>
      <c r="F984" s="115"/>
      <c r="G984" s="115"/>
    </row>
    <row r="985" ht="15.75" customHeight="1">
      <c r="A985" s="115"/>
      <c r="B985" s="115"/>
      <c r="C985" s="115"/>
      <c r="D985" s="115"/>
      <c r="E985" s="115"/>
      <c r="F985" s="115"/>
      <c r="G985" s="115"/>
    </row>
    <row r="986" ht="15.75" customHeight="1">
      <c r="A986" s="115"/>
      <c r="B986" s="115"/>
      <c r="C986" s="115"/>
      <c r="D986" s="115"/>
      <c r="E986" s="115"/>
      <c r="F986" s="115"/>
      <c r="G986" s="115"/>
    </row>
    <row r="987" ht="15.75" customHeight="1">
      <c r="A987" s="115"/>
      <c r="B987" s="115"/>
      <c r="C987" s="115"/>
      <c r="D987" s="115"/>
      <c r="E987" s="115"/>
      <c r="F987" s="115"/>
      <c r="G987" s="115"/>
    </row>
    <row r="988" ht="15.75" customHeight="1">
      <c r="A988" s="115"/>
      <c r="B988" s="115"/>
      <c r="C988" s="115"/>
      <c r="D988" s="115"/>
      <c r="E988" s="115"/>
      <c r="F988" s="115"/>
      <c r="G988" s="115"/>
    </row>
    <row r="989" ht="15.75" customHeight="1">
      <c r="A989" s="115"/>
      <c r="B989" s="115"/>
      <c r="C989" s="115"/>
      <c r="D989" s="115"/>
      <c r="E989" s="115"/>
      <c r="F989" s="115"/>
      <c r="G989" s="115"/>
    </row>
    <row r="990" ht="15.75" customHeight="1">
      <c r="A990" s="115"/>
      <c r="B990" s="115"/>
      <c r="C990" s="115"/>
      <c r="D990" s="115"/>
      <c r="E990" s="115"/>
      <c r="F990" s="115"/>
      <c r="G990" s="115"/>
    </row>
    <row r="991" ht="15.75" customHeight="1">
      <c r="A991" s="115"/>
      <c r="B991" s="115"/>
      <c r="C991" s="115"/>
      <c r="D991" s="115"/>
      <c r="E991" s="115"/>
      <c r="F991" s="115"/>
      <c r="G991" s="115"/>
    </row>
    <row r="992" ht="15.75" customHeight="1">
      <c r="A992" s="115"/>
      <c r="B992" s="115"/>
      <c r="C992" s="115"/>
      <c r="D992" s="115"/>
      <c r="E992" s="115"/>
      <c r="F992" s="115"/>
      <c r="G992" s="115"/>
    </row>
    <row r="993" ht="15.75" customHeight="1">
      <c r="A993" s="115"/>
      <c r="B993" s="115"/>
      <c r="C993" s="115"/>
      <c r="D993" s="115"/>
      <c r="E993" s="115"/>
      <c r="F993" s="115"/>
      <c r="G993" s="115"/>
    </row>
    <row r="994" ht="15.75" customHeight="1">
      <c r="A994" s="115"/>
      <c r="B994" s="115"/>
      <c r="C994" s="115"/>
      <c r="D994" s="115"/>
      <c r="E994" s="115"/>
      <c r="F994" s="115"/>
      <c r="G994" s="115"/>
    </row>
    <row r="995" ht="15.75" customHeight="1">
      <c r="A995" s="115"/>
      <c r="B995" s="115"/>
      <c r="C995" s="115"/>
      <c r="D995" s="115"/>
      <c r="E995" s="115"/>
      <c r="F995" s="115"/>
      <c r="G995" s="115"/>
    </row>
    <row r="996" ht="15.75" customHeight="1">
      <c r="A996" s="115"/>
      <c r="B996" s="115"/>
      <c r="C996" s="115"/>
      <c r="D996" s="115"/>
      <c r="E996" s="115"/>
      <c r="F996" s="115"/>
      <c r="G996" s="115"/>
    </row>
    <row r="997" ht="15.75" customHeight="1">
      <c r="A997" s="115"/>
      <c r="B997" s="115"/>
      <c r="C997" s="115"/>
      <c r="D997" s="115"/>
      <c r="E997" s="115"/>
      <c r="F997" s="115"/>
      <c r="G997" s="115"/>
    </row>
    <row r="998" ht="15.75" customHeight="1">
      <c r="A998" s="115"/>
      <c r="B998" s="115"/>
      <c r="C998" s="115"/>
      <c r="D998" s="115"/>
      <c r="E998" s="115"/>
      <c r="F998" s="115"/>
      <c r="G998" s="115"/>
    </row>
    <row r="999" ht="15.75" customHeight="1">
      <c r="A999" s="115"/>
      <c r="B999" s="115"/>
      <c r="C999" s="115"/>
      <c r="D999" s="115"/>
      <c r="E999" s="115"/>
      <c r="F999" s="115"/>
      <c r="G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</row>
  </sheetData>
  <mergeCells count="6">
    <mergeCell ref="B2:G2"/>
    <mergeCell ref="J2:O2"/>
    <mergeCell ref="B9:G9"/>
    <mergeCell ref="J9:O9"/>
    <mergeCell ref="B16:G16"/>
    <mergeCell ref="B23:G23"/>
  </mergeCells>
  <conditionalFormatting sqref="F11:F14 F18:F21 F25:F30">
    <cfRule type="cellIs" dxfId="5" priority="1" operator="greaterThanOrEqual">
      <formula>-10</formula>
    </cfRule>
  </conditionalFormatting>
  <conditionalFormatting sqref="G4:G7 G11:G14 G18:G21 G25:G30">
    <cfRule type="containsText" dxfId="5" priority="2" operator="containsText" text="RENOVAR">
      <formula>NOT(ISERROR(SEARCH(("RENOVAR"),(G4))))</formula>
    </cfRule>
  </conditionalFormatting>
  <conditionalFormatting sqref="N4:N7 N11:N13">
    <cfRule type="cellIs" dxfId="5" priority="3" operator="greaterThanOrEqual">
      <formula>-10</formula>
    </cfRule>
  </conditionalFormatting>
  <conditionalFormatting sqref="O4:O7 O11:O13">
    <cfRule type="containsText" dxfId="5" priority="4" operator="containsText" text="RENOVAR">
      <formula>NOT(ISERROR(SEARCH(("RENOVAR"),(O4))))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5.86"/>
    <col customWidth="1" min="2" max="2" width="12.86"/>
    <col customWidth="1" min="3" max="3" width="34.0"/>
    <col customWidth="1" min="4" max="5" width="12.86"/>
    <col customWidth="1" min="6" max="7" width="12.57"/>
    <col customWidth="1" min="8" max="8" width="13.86"/>
    <col customWidth="1" min="9" max="9" width="34.71"/>
    <col customWidth="1" min="10" max="10" width="17.86"/>
    <col customWidth="1" min="11" max="11" width="10.71"/>
    <col customWidth="1" min="12" max="12" width="16.71"/>
    <col customWidth="1" min="13" max="13" width="25.86"/>
    <col customWidth="1" min="14" max="24" width="10.71"/>
  </cols>
  <sheetData>
    <row r="1" ht="15.0" customHeight="1">
      <c r="A1" s="2" t="s">
        <v>639</v>
      </c>
      <c r="B1" s="5"/>
      <c r="C1" s="5"/>
      <c r="D1" s="5"/>
      <c r="E1" s="5"/>
      <c r="F1" s="5"/>
      <c r="G1" s="5"/>
      <c r="H1" s="5"/>
      <c r="I1" s="6"/>
      <c r="J1" s="10"/>
      <c r="K1" s="12"/>
    </row>
    <row r="2" ht="15.0" customHeight="1">
      <c r="A2" s="9"/>
      <c r="I2" s="13"/>
      <c r="J2" s="10"/>
      <c r="K2" s="12"/>
    </row>
    <row r="3" ht="15.0" customHeight="1">
      <c r="A3" s="9"/>
      <c r="I3" s="13"/>
      <c r="J3" s="10"/>
      <c r="K3" s="12"/>
    </row>
    <row r="4" ht="15.0" customHeight="1">
      <c r="A4" s="15"/>
      <c r="B4" s="17"/>
      <c r="C4" s="17"/>
      <c r="D4" s="17"/>
      <c r="E4" s="17"/>
      <c r="F4" s="17"/>
      <c r="G4" s="17"/>
      <c r="H4" s="17"/>
      <c r="I4" s="19"/>
      <c r="J4" s="10"/>
      <c r="K4" s="12"/>
    </row>
    <row r="5">
      <c r="A5" s="298" t="s">
        <v>640</v>
      </c>
      <c r="B5" s="299" t="s">
        <v>641</v>
      </c>
      <c r="C5" s="299" t="s">
        <v>642</v>
      </c>
      <c r="D5" s="24" t="s">
        <v>11</v>
      </c>
      <c r="E5" s="299" t="s">
        <v>643</v>
      </c>
      <c r="F5" s="27" t="s">
        <v>13</v>
      </c>
      <c r="G5" s="25" t="s">
        <v>17</v>
      </c>
      <c r="H5" s="31" t="s">
        <v>19</v>
      </c>
      <c r="I5" s="35" t="s">
        <v>21</v>
      </c>
      <c r="J5" s="10"/>
      <c r="K5" s="12"/>
    </row>
    <row r="6" ht="15.75" customHeight="1">
      <c r="A6" s="40"/>
      <c r="B6" s="42"/>
      <c r="C6" s="42"/>
      <c r="D6" s="42"/>
      <c r="E6" s="42"/>
      <c r="F6" s="42"/>
      <c r="G6" s="49" t="s">
        <v>27</v>
      </c>
      <c r="H6" s="49"/>
      <c r="I6" s="54"/>
      <c r="J6" s="10"/>
      <c r="K6" s="12"/>
    </row>
    <row r="7" ht="18.0" customHeight="1">
      <c r="A7" s="88"/>
      <c r="B7" s="88" t="s">
        <v>644</v>
      </c>
      <c r="C7" s="88" t="s">
        <v>645</v>
      </c>
      <c r="D7" s="92">
        <v>46072.0</v>
      </c>
      <c r="E7" s="69">
        <v>7572.98</v>
      </c>
      <c r="F7" s="95" t="s">
        <v>34</v>
      </c>
      <c r="G7" s="95">
        <v>3280.87</v>
      </c>
      <c r="H7" s="98">
        <v>46056.0</v>
      </c>
      <c r="I7" s="206" t="s">
        <v>646</v>
      </c>
      <c r="J7" s="101"/>
      <c r="K7" s="102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</row>
    <row r="8" ht="18.0" customHeight="1">
      <c r="A8" s="300"/>
      <c r="B8" s="300"/>
      <c r="C8" s="300"/>
      <c r="D8" s="300"/>
      <c r="E8" s="300"/>
      <c r="F8" s="95" t="s">
        <v>34</v>
      </c>
      <c r="G8" s="95">
        <v>3383.1099999999997</v>
      </c>
      <c r="H8" s="98">
        <v>46073.0</v>
      </c>
      <c r="I8" s="206" t="s">
        <v>646</v>
      </c>
      <c r="J8" s="101"/>
      <c r="K8" s="102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</row>
    <row r="9" ht="18.0" customHeight="1">
      <c r="A9" s="113" t="s">
        <v>647</v>
      </c>
      <c r="B9" s="88" t="s">
        <v>648</v>
      </c>
      <c r="C9" s="88" t="s">
        <v>649</v>
      </c>
      <c r="D9" s="92">
        <v>46106.0</v>
      </c>
      <c r="E9" s="69">
        <v>9600.0</v>
      </c>
      <c r="F9" s="95" t="s">
        <v>34</v>
      </c>
      <c r="G9" s="95">
        <v>9508.8</v>
      </c>
      <c r="H9" s="98">
        <v>46080.0</v>
      </c>
      <c r="I9" s="78" t="s">
        <v>646</v>
      </c>
      <c r="J9" s="101"/>
      <c r="K9" s="102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</row>
    <row r="10" ht="18.0" customHeight="1">
      <c r="A10" s="88" t="s">
        <v>650</v>
      </c>
      <c r="B10" s="150" t="s">
        <v>651</v>
      </c>
      <c r="C10" s="88" t="s">
        <v>652</v>
      </c>
      <c r="D10" s="92">
        <v>46043.0</v>
      </c>
      <c r="E10" s="69">
        <v>99830.0</v>
      </c>
      <c r="F10" s="95" t="s">
        <v>82</v>
      </c>
      <c r="G10" s="95">
        <v>48417.55</v>
      </c>
      <c r="H10" s="98">
        <v>46044.0</v>
      </c>
      <c r="I10" s="206" t="s">
        <v>646</v>
      </c>
      <c r="J10" s="101"/>
      <c r="K10" s="102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</row>
    <row r="11" ht="18.0" customHeight="1">
      <c r="A11" s="300"/>
      <c r="B11" s="246" t="s">
        <v>653</v>
      </c>
      <c r="C11" s="88" t="s">
        <v>652</v>
      </c>
      <c r="D11" s="92">
        <v>46088.0</v>
      </c>
      <c r="E11" s="300"/>
      <c r="F11" s="95" t="s">
        <v>82</v>
      </c>
      <c r="G11" s="95">
        <v>48417.55</v>
      </c>
      <c r="H11" s="98">
        <v>46093.0</v>
      </c>
      <c r="I11" s="206" t="s">
        <v>646</v>
      </c>
      <c r="J11" s="101"/>
      <c r="K11" s="102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</row>
    <row r="12" ht="18.0" customHeight="1">
      <c r="A12" s="302" t="s">
        <v>656</v>
      </c>
      <c r="B12" s="246" t="s">
        <v>657</v>
      </c>
      <c r="C12" s="88" t="s">
        <v>652</v>
      </c>
      <c r="D12" s="92">
        <v>46088.0</v>
      </c>
      <c r="E12" s="69">
        <v>1685.0</v>
      </c>
      <c r="F12" s="95" t="s">
        <v>82</v>
      </c>
      <c r="G12" s="95">
        <v>1634.45</v>
      </c>
      <c r="H12" s="300"/>
      <c r="I12" s="206" t="s">
        <v>646</v>
      </c>
      <c r="J12" s="101"/>
      <c r="K12" s="102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</row>
    <row r="13" ht="18.0" customHeight="1">
      <c r="A13" s="302" t="s">
        <v>659</v>
      </c>
      <c r="B13" s="246" t="s">
        <v>660</v>
      </c>
      <c r="C13" s="88" t="s">
        <v>652</v>
      </c>
      <c r="D13" s="92">
        <v>46083.0</v>
      </c>
      <c r="E13" s="69">
        <v>1500.0</v>
      </c>
      <c r="F13" s="95" t="s">
        <v>82</v>
      </c>
      <c r="G13" s="95">
        <v>1455.0</v>
      </c>
      <c r="H13" s="300"/>
      <c r="I13" s="206" t="s">
        <v>646</v>
      </c>
      <c r="J13" s="101"/>
      <c r="K13" s="102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</row>
    <row r="14" ht="18.0" customHeight="1">
      <c r="A14" s="113"/>
      <c r="B14" s="150" t="s">
        <v>663</v>
      </c>
      <c r="C14" s="88" t="s">
        <v>664</v>
      </c>
      <c r="D14" s="92">
        <v>46050.0</v>
      </c>
      <c r="E14" s="69">
        <v>12774.21</v>
      </c>
      <c r="F14" s="95" t="s">
        <v>34</v>
      </c>
      <c r="G14" s="95">
        <v>12390.97</v>
      </c>
      <c r="H14" s="98">
        <v>46052.0</v>
      </c>
      <c r="I14" s="206" t="s">
        <v>646</v>
      </c>
      <c r="J14" s="101"/>
      <c r="K14" s="102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</row>
    <row r="15" ht="18.0" customHeight="1">
      <c r="A15" s="113"/>
      <c r="B15" s="150" t="s">
        <v>666</v>
      </c>
      <c r="C15" s="88" t="s">
        <v>664</v>
      </c>
      <c r="D15" s="92">
        <v>46070.0</v>
      </c>
      <c r="E15" s="69">
        <v>3000.0</v>
      </c>
      <c r="F15" s="95" t="s">
        <v>34</v>
      </c>
      <c r="G15" s="95">
        <v>2910.0</v>
      </c>
      <c r="H15" s="98">
        <v>46080.0</v>
      </c>
      <c r="I15" s="206" t="s">
        <v>646</v>
      </c>
      <c r="J15" s="101"/>
      <c r="K15" s="102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</row>
    <row r="16" ht="18.0" customHeight="1">
      <c r="A16" s="113"/>
      <c r="B16" s="88" t="s">
        <v>669</v>
      </c>
      <c r="C16" s="88" t="s">
        <v>664</v>
      </c>
      <c r="D16" s="92">
        <v>46064.0</v>
      </c>
      <c r="E16" s="69">
        <v>5624.2</v>
      </c>
      <c r="F16" s="95" t="s">
        <v>34</v>
      </c>
      <c r="G16" s="95">
        <v>5455.67</v>
      </c>
      <c r="H16" s="98">
        <v>46080.0</v>
      </c>
      <c r="I16" s="206" t="s">
        <v>646</v>
      </c>
      <c r="J16" s="101"/>
      <c r="K16" s="102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</row>
    <row r="17" ht="18.0" customHeight="1">
      <c r="A17" s="113"/>
      <c r="B17" s="88" t="s">
        <v>670</v>
      </c>
      <c r="C17" s="88" t="s">
        <v>664</v>
      </c>
      <c r="D17" s="92">
        <v>46083.0</v>
      </c>
      <c r="E17" s="69">
        <v>10737.1</v>
      </c>
      <c r="F17" s="95" t="s">
        <v>34</v>
      </c>
      <c r="G17" s="95">
        <v>10414.99</v>
      </c>
      <c r="H17" s="98">
        <v>46085.0</v>
      </c>
      <c r="I17" s="206" t="s">
        <v>646</v>
      </c>
      <c r="J17" s="101"/>
      <c r="K17" s="102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</row>
    <row r="18" ht="18.0" customHeight="1">
      <c r="A18" s="113" t="s">
        <v>673</v>
      </c>
      <c r="B18" s="150" t="s">
        <v>675</v>
      </c>
      <c r="C18" s="88" t="s">
        <v>678</v>
      </c>
      <c r="D18" s="92">
        <v>46070.0</v>
      </c>
      <c r="E18" s="69">
        <v>4390.0</v>
      </c>
      <c r="F18" s="95" t="s">
        <v>680</v>
      </c>
      <c r="G18" s="95">
        <v>2020.0</v>
      </c>
      <c r="H18" s="98">
        <v>46056.0</v>
      </c>
      <c r="I18" s="78" t="s">
        <v>646</v>
      </c>
      <c r="J18" s="101"/>
      <c r="K18" s="102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</row>
    <row r="19" ht="18.0" customHeight="1">
      <c r="A19" s="329"/>
      <c r="B19" s="300"/>
      <c r="C19" s="300"/>
      <c r="D19" s="300"/>
      <c r="E19" s="300"/>
      <c r="F19" s="95" t="s">
        <v>680</v>
      </c>
      <c r="G19" s="95">
        <f>E18-G18</f>
        <v>2370</v>
      </c>
      <c r="H19" s="98">
        <v>46071.0</v>
      </c>
      <c r="I19" s="78" t="s">
        <v>646</v>
      </c>
      <c r="J19" s="101"/>
      <c r="K19" s="102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</row>
    <row r="20" ht="18.0" customHeight="1">
      <c r="A20" s="113" t="s">
        <v>686</v>
      </c>
      <c r="B20" s="150" t="s">
        <v>688</v>
      </c>
      <c r="C20" s="88" t="s">
        <v>652</v>
      </c>
      <c r="D20" s="92">
        <v>46071.0</v>
      </c>
      <c r="E20" s="69">
        <v>14800.0</v>
      </c>
      <c r="F20" s="95" t="s">
        <v>82</v>
      </c>
      <c r="G20" s="95">
        <v>7178.0</v>
      </c>
      <c r="H20" s="98">
        <v>46073.0</v>
      </c>
      <c r="I20" s="78" t="s">
        <v>646</v>
      </c>
      <c r="J20" s="101"/>
      <c r="K20" s="10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</row>
    <row r="21" ht="18.0" customHeight="1">
      <c r="A21" s="329"/>
      <c r="B21" s="88" t="s">
        <v>696</v>
      </c>
      <c r="C21" s="88" t="s">
        <v>652</v>
      </c>
      <c r="D21" s="92">
        <v>46099.0</v>
      </c>
      <c r="E21" s="282"/>
      <c r="F21" s="95" t="s">
        <v>82</v>
      </c>
      <c r="G21" s="95">
        <v>7178.0</v>
      </c>
      <c r="H21" s="98">
        <v>46101.0</v>
      </c>
      <c r="I21" s="78" t="s">
        <v>646</v>
      </c>
      <c r="J21" s="101"/>
      <c r="K21" s="102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</row>
    <row r="22" ht="18.0" customHeight="1">
      <c r="A22" s="134" t="s">
        <v>699</v>
      </c>
      <c r="B22" s="345"/>
      <c r="C22" s="135" t="s">
        <v>649</v>
      </c>
      <c r="D22" s="138"/>
      <c r="E22" s="259">
        <v>4800.0</v>
      </c>
      <c r="F22" s="220"/>
      <c r="G22" s="143"/>
      <c r="H22" s="145"/>
      <c r="I22" s="206"/>
      <c r="J22" s="101"/>
      <c r="K22" s="102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</row>
    <row r="23" ht="18.0" customHeight="1">
      <c r="A23" s="113"/>
      <c r="B23" s="88" t="s">
        <v>701</v>
      </c>
      <c r="C23" s="88" t="s">
        <v>664</v>
      </c>
      <c r="D23" s="92">
        <v>46095.0</v>
      </c>
      <c r="E23" s="69">
        <v>8436.3</v>
      </c>
      <c r="F23" s="95" t="s">
        <v>34</v>
      </c>
      <c r="G23" s="95">
        <f>E23-253.09</f>
        <v>8183.21</v>
      </c>
      <c r="H23" s="98">
        <v>46120.0</v>
      </c>
      <c r="I23" s="78" t="s">
        <v>646</v>
      </c>
      <c r="J23" s="101"/>
      <c r="K23" s="102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</row>
    <row r="24" ht="18.0" customHeight="1">
      <c r="A24" s="113"/>
      <c r="B24" s="88" t="s">
        <v>703</v>
      </c>
      <c r="C24" s="88" t="s">
        <v>664</v>
      </c>
      <c r="D24" s="92">
        <v>46105.0</v>
      </c>
      <c r="E24" s="69">
        <v>6458.4</v>
      </c>
      <c r="F24" s="95" t="s">
        <v>34</v>
      </c>
      <c r="G24" s="95">
        <f>E24-193.75</f>
        <v>6264.65</v>
      </c>
      <c r="H24" s="364"/>
      <c r="I24" s="78" t="s">
        <v>646</v>
      </c>
      <c r="J24" s="101"/>
      <c r="K24" s="102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</row>
    <row r="25" ht="18.0" customHeight="1">
      <c r="A25" s="113" t="s">
        <v>706</v>
      </c>
      <c r="B25" s="150"/>
      <c r="C25" s="88" t="s">
        <v>707</v>
      </c>
      <c r="D25" s="119"/>
      <c r="E25" s="69">
        <v>54400.0</v>
      </c>
      <c r="F25" s="95" t="s">
        <v>34</v>
      </c>
      <c r="G25" s="95">
        <f>1000+1000+1000+1000+1000+1000+1000+1000+1000+1000</f>
        <v>10000</v>
      </c>
      <c r="H25" s="98">
        <v>46062.0</v>
      </c>
      <c r="I25" s="78" t="s">
        <v>646</v>
      </c>
      <c r="J25" s="101"/>
      <c r="K25" s="102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</row>
    <row r="26" ht="18.0" customHeight="1">
      <c r="A26" s="329"/>
      <c r="B26" s="150"/>
      <c r="C26" s="300"/>
      <c r="D26" s="119"/>
      <c r="E26" s="300"/>
      <c r="F26" s="95" t="s">
        <v>82</v>
      </c>
      <c r="G26" s="95">
        <v>10000.0</v>
      </c>
      <c r="H26" s="98">
        <v>46099.0</v>
      </c>
      <c r="I26" s="78" t="s">
        <v>646</v>
      </c>
      <c r="J26" s="101"/>
      <c r="K26" s="102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</row>
    <row r="27" ht="18.0" customHeight="1">
      <c r="A27" s="329"/>
      <c r="B27" s="150"/>
      <c r="C27" s="300"/>
      <c r="D27" s="119"/>
      <c r="E27" s="300"/>
      <c r="F27" s="95" t="s">
        <v>34</v>
      </c>
      <c r="G27" s="95">
        <f>15000+15000+4000</f>
        <v>34000</v>
      </c>
      <c r="H27" s="98">
        <v>46132.0</v>
      </c>
      <c r="I27" s="78" t="s">
        <v>646</v>
      </c>
      <c r="J27" s="101"/>
      <c r="K27" s="102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</row>
    <row r="28" ht="18.0" customHeight="1">
      <c r="A28" s="113" t="s">
        <v>718</v>
      </c>
      <c r="B28" s="88" t="s">
        <v>719</v>
      </c>
      <c r="C28" s="88" t="s">
        <v>721</v>
      </c>
      <c r="D28" s="98">
        <v>46097.0</v>
      </c>
      <c r="E28" s="69">
        <v>6900.0</v>
      </c>
      <c r="F28" s="95" t="s">
        <v>34</v>
      </c>
      <c r="G28" s="95">
        <v>3450.0</v>
      </c>
      <c r="H28" s="98">
        <v>46097.0</v>
      </c>
      <c r="I28" s="78" t="s">
        <v>646</v>
      </c>
      <c r="J28" s="101"/>
      <c r="K28" s="102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</row>
    <row r="29" ht="18.0" customHeight="1">
      <c r="A29" s="329"/>
      <c r="B29" s="300"/>
      <c r="C29" s="300"/>
      <c r="D29" s="98">
        <v>46114.0</v>
      </c>
      <c r="E29" s="300"/>
      <c r="F29" s="95" t="s">
        <v>680</v>
      </c>
      <c r="G29" s="95">
        <f>8600-G31-G34</f>
        <v>3450</v>
      </c>
      <c r="H29" s="98">
        <v>46114.0</v>
      </c>
      <c r="I29" s="78" t="s">
        <v>646</v>
      </c>
      <c r="J29" s="101"/>
      <c r="K29" s="102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</row>
    <row r="30" ht="18.0" customHeight="1">
      <c r="A30" s="113" t="s">
        <v>722</v>
      </c>
      <c r="B30" s="88" t="s">
        <v>723</v>
      </c>
      <c r="C30" s="88" t="s">
        <v>724</v>
      </c>
      <c r="D30" s="98">
        <v>46101.0</v>
      </c>
      <c r="E30" s="69">
        <v>6000.0</v>
      </c>
      <c r="F30" s="95" t="s">
        <v>82</v>
      </c>
      <c r="G30" s="95">
        <v>3000.0</v>
      </c>
      <c r="H30" s="98">
        <v>46101.0</v>
      </c>
      <c r="I30" s="78" t="s">
        <v>646</v>
      </c>
      <c r="J30" s="101"/>
      <c r="K30" s="102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</row>
    <row r="31" ht="18.0" customHeight="1">
      <c r="A31" s="329"/>
      <c r="B31" s="300"/>
      <c r="C31" s="300"/>
      <c r="D31" s="98">
        <v>46114.0</v>
      </c>
      <c r="E31" s="300"/>
      <c r="F31" s="95" t="s">
        <v>680</v>
      </c>
      <c r="G31" s="95">
        <f>E30-G30</f>
        <v>3000</v>
      </c>
      <c r="H31" s="98">
        <v>46114.0</v>
      </c>
      <c r="I31" s="78" t="s">
        <v>646</v>
      </c>
      <c r="J31" s="101"/>
      <c r="K31" s="102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 ht="18.0" customHeight="1">
      <c r="A32" s="113" t="s">
        <v>726</v>
      </c>
      <c r="B32" s="88" t="s">
        <v>727</v>
      </c>
      <c r="C32" s="88" t="s">
        <v>729</v>
      </c>
      <c r="D32" s="92">
        <v>46111.0</v>
      </c>
      <c r="E32" s="69">
        <v>26688.0</v>
      </c>
      <c r="F32" s="95" t="s">
        <v>730</v>
      </c>
      <c r="G32" s="95">
        <v>26688.0</v>
      </c>
      <c r="H32" s="98">
        <v>46113.0</v>
      </c>
      <c r="I32" s="78" t="s">
        <v>646</v>
      </c>
      <c r="J32" s="101"/>
      <c r="K32" s="10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 ht="18.0" customHeight="1">
      <c r="A33" s="113" t="s">
        <v>732</v>
      </c>
      <c r="B33" s="88" t="s">
        <v>733</v>
      </c>
      <c r="C33" s="88" t="s">
        <v>734</v>
      </c>
      <c r="D33" s="98">
        <v>46111.0</v>
      </c>
      <c r="E33" s="69">
        <v>5150.0</v>
      </c>
      <c r="F33" s="95" t="s">
        <v>82</v>
      </c>
      <c r="G33" s="95">
        <v>3000.0</v>
      </c>
      <c r="H33" s="98">
        <v>46111.0</v>
      </c>
      <c r="I33" s="78" t="s">
        <v>646</v>
      </c>
      <c r="J33" s="101"/>
      <c r="K33" s="10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 ht="18.0" customHeight="1">
      <c r="A34" s="329"/>
      <c r="B34" s="300"/>
      <c r="C34" s="300"/>
      <c r="D34" s="98">
        <v>46114.0</v>
      </c>
      <c r="E34" s="300"/>
      <c r="F34" s="95" t="s">
        <v>680</v>
      </c>
      <c r="G34" s="95">
        <f>E33-G33</f>
        <v>2150</v>
      </c>
      <c r="H34" s="98">
        <v>46114.0</v>
      </c>
      <c r="I34" s="78" t="s">
        <v>646</v>
      </c>
      <c r="J34" s="101"/>
      <c r="K34" s="102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 ht="18.0" customHeight="1">
      <c r="A35" s="113" t="s">
        <v>736</v>
      </c>
      <c r="B35" s="88" t="s">
        <v>737</v>
      </c>
      <c r="C35" s="88" t="s">
        <v>738</v>
      </c>
      <c r="D35" s="119"/>
      <c r="E35" s="69">
        <v>8268.0</v>
      </c>
      <c r="F35" s="95" t="s">
        <v>680</v>
      </c>
      <c r="G35" s="95">
        <v>2895.0</v>
      </c>
      <c r="H35" s="98">
        <v>46129.0</v>
      </c>
      <c r="I35" s="206" t="s">
        <v>646</v>
      </c>
      <c r="J35" s="101"/>
      <c r="K35" s="102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 ht="18.0" customHeight="1">
      <c r="A36" s="329"/>
      <c r="B36" s="300"/>
      <c r="C36" s="300"/>
      <c r="D36" s="119"/>
      <c r="E36" s="300"/>
      <c r="F36" s="95" t="s">
        <v>680</v>
      </c>
      <c r="G36" s="95">
        <v>5364.0</v>
      </c>
      <c r="H36" s="98">
        <v>46137.0</v>
      </c>
      <c r="I36" s="206" t="s">
        <v>646</v>
      </c>
      <c r="J36" s="101"/>
      <c r="K36" s="102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 ht="18.0" customHeight="1">
      <c r="A37" s="86"/>
      <c r="B37" s="88" t="s">
        <v>739</v>
      </c>
      <c r="C37" s="88" t="s">
        <v>740</v>
      </c>
      <c r="D37" s="92">
        <v>46167.0</v>
      </c>
      <c r="E37" s="69">
        <v>11248.4</v>
      </c>
      <c r="F37" s="95" t="s">
        <v>34</v>
      </c>
      <c r="G37" s="95">
        <v>10910.95</v>
      </c>
      <c r="H37" s="98">
        <v>46142.0</v>
      </c>
      <c r="I37" s="206" t="s">
        <v>646</v>
      </c>
      <c r="J37" s="101"/>
      <c r="K37" s="102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 ht="18.0" customHeight="1">
      <c r="A38" s="86"/>
      <c r="B38" s="88" t="s">
        <v>741</v>
      </c>
      <c r="C38" s="88" t="s">
        <v>740</v>
      </c>
      <c r="D38" s="92">
        <v>46162.0</v>
      </c>
      <c r="E38" s="69">
        <v>16024.9</v>
      </c>
      <c r="F38" s="95" t="s">
        <v>34</v>
      </c>
      <c r="G38" s="95">
        <v>15544.15</v>
      </c>
      <c r="H38" s="98">
        <v>46171.0</v>
      </c>
      <c r="I38" s="206" t="s">
        <v>646</v>
      </c>
      <c r="J38" s="101"/>
      <c r="K38" s="102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 ht="18.0" customHeight="1">
      <c r="A39" s="113"/>
      <c r="B39" s="88" t="s">
        <v>742</v>
      </c>
      <c r="C39" s="88" t="s">
        <v>740</v>
      </c>
      <c r="D39" s="92">
        <v>46174.0</v>
      </c>
      <c r="E39" s="69">
        <v>13225.6</v>
      </c>
      <c r="F39" s="95" t="s">
        <v>34</v>
      </c>
      <c r="G39" s="95">
        <v>12828.83</v>
      </c>
      <c r="H39" s="98">
        <v>46176.0</v>
      </c>
      <c r="I39" s="78" t="s">
        <v>646</v>
      </c>
      <c r="J39" s="101"/>
      <c r="K39" s="102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 ht="18.0" customHeight="1">
      <c r="A40" s="113" t="s">
        <v>743</v>
      </c>
      <c r="B40" s="88" t="s">
        <v>745</v>
      </c>
      <c r="C40" s="88" t="s">
        <v>746</v>
      </c>
      <c r="D40" s="92">
        <v>46148.0</v>
      </c>
      <c r="E40" s="69">
        <v>20450.0</v>
      </c>
      <c r="F40" s="95" t="s">
        <v>34</v>
      </c>
      <c r="G40" s="95">
        <v>10075.0</v>
      </c>
      <c r="H40" s="98">
        <v>46140.0</v>
      </c>
      <c r="I40" s="206" t="s">
        <v>646</v>
      </c>
      <c r="J40" s="101"/>
      <c r="K40" s="102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 ht="18.0" customHeight="1">
      <c r="A41" s="329"/>
      <c r="B41" s="150"/>
      <c r="C41" s="88" t="s">
        <v>746</v>
      </c>
      <c r="D41" s="119"/>
      <c r="E41" s="300"/>
      <c r="F41" s="95" t="s">
        <v>34</v>
      </c>
      <c r="G41" s="95">
        <v>10375.0</v>
      </c>
      <c r="H41" s="98">
        <v>46184.0</v>
      </c>
      <c r="I41" s="206" t="s">
        <v>646</v>
      </c>
      <c r="J41" s="101"/>
      <c r="K41" s="102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 ht="18.0" customHeight="1">
      <c r="A42" s="88" t="s">
        <v>751</v>
      </c>
      <c r="B42" s="88" t="s">
        <v>752</v>
      </c>
      <c r="C42" s="88" t="s">
        <v>753</v>
      </c>
      <c r="D42" s="92">
        <v>46188.0</v>
      </c>
      <c r="E42" s="69">
        <v>4391.6</v>
      </c>
      <c r="F42" s="95" t="s">
        <v>34</v>
      </c>
      <c r="G42" s="95">
        <v>4391.6</v>
      </c>
      <c r="H42" s="98">
        <v>46189.0</v>
      </c>
      <c r="I42" s="206" t="s">
        <v>646</v>
      </c>
      <c r="J42" s="101"/>
      <c r="K42" s="102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 ht="18.0" customHeight="1">
      <c r="A43" s="88" t="s">
        <v>754</v>
      </c>
      <c r="B43" s="300"/>
      <c r="C43" s="88" t="s">
        <v>753</v>
      </c>
      <c r="D43" s="92">
        <v>46218.0</v>
      </c>
      <c r="E43" s="69">
        <v>4391.6</v>
      </c>
      <c r="F43" s="95" t="s">
        <v>34</v>
      </c>
      <c r="G43" s="95">
        <v>4391.6</v>
      </c>
      <c r="H43" s="98">
        <v>46218.0</v>
      </c>
      <c r="I43" s="206" t="s">
        <v>646</v>
      </c>
      <c r="J43" s="101"/>
      <c r="K43" s="102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 ht="18.0" customHeight="1">
      <c r="A44" s="88" t="s">
        <v>755</v>
      </c>
      <c r="B44" s="300"/>
      <c r="C44" s="88" t="s">
        <v>753</v>
      </c>
      <c r="D44" s="92">
        <v>46249.0</v>
      </c>
      <c r="E44" s="69">
        <v>4391.8</v>
      </c>
      <c r="F44" s="95" t="s">
        <v>34</v>
      </c>
      <c r="G44" s="95">
        <v>1391.8</v>
      </c>
      <c r="H44" s="98">
        <v>46248.0</v>
      </c>
      <c r="I44" s="206" t="s">
        <v>646</v>
      </c>
      <c r="J44" s="101"/>
      <c r="K44" s="102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 ht="18.0" customHeight="1">
      <c r="A45" s="86"/>
      <c r="B45" s="88" t="s">
        <v>756</v>
      </c>
      <c r="C45" s="88" t="s">
        <v>740</v>
      </c>
      <c r="D45" s="92">
        <v>46179.0</v>
      </c>
      <c r="E45" s="69">
        <v>7101.96</v>
      </c>
      <c r="F45" s="95" t="s">
        <v>34</v>
      </c>
      <c r="G45" s="95">
        <v>6888.9012</v>
      </c>
      <c r="H45" s="98">
        <v>46190.0</v>
      </c>
      <c r="I45" s="78" t="s">
        <v>646</v>
      </c>
      <c r="J45" s="101"/>
      <c r="K45" s="102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 ht="18.0" customHeight="1">
      <c r="A46" s="86"/>
      <c r="B46" s="88" t="s">
        <v>757</v>
      </c>
      <c r="C46" s="88" t="s">
        <v>740</v>
      </c>
      <c r="D46" s="92">
        <v>46193.0</v>
      </c>
      <c r="E46" s="69">
        <v>12935.6</v>
      </c>
      <c r="F46" s="95" t="s">
        <v>34</v>
      </c>
      <c r="G46" s="95">
        <v>12547.532000000001</v>
      </c>
      <c r="H46" s="98">
        <v>46197.0</v>
      </c>
      <c r="I46" s="78" t="s">
        <v>646</v>
      </c>
      <c r="J46" s="101"/>
      <c r="K46" s="102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 ht="18.0" customHeight="1">
      <c r="A47" s="113" t="s">
        <v>758</v>
      </c>
      <c r="B47" s="88" t="s">
        <v>760</v>
      </c>
      <c r="C47" s="88" t="s">
        <v>761</v>
      </c>
      <c r="D47" s="92">
        <v>46181.0</v>
      </c>
      <c r="E47" s="69">
        <v>3566.03</v>
      </c>
      <c r="F47" s="95" t="s">
        <v>34</v>
      </c>
      <c r="G47" s="95">
        <v>1783.01</v>
      </c>
      <c r="H47" s="98">
        <v>46181.0</v>
      </c>
      <c r="I47" s="78" t="s">
        <v>646</v>
      </c>
      <c r="J47" s="101"/>
      <c r="K47" s="102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  <row r="48" ht="18.0" customHeight="1">
      <c r="A48" s="329"/>
      <c r="B48" s="88" t="s">
        <v>763</v>
      </c>
      <c r="C48" s="300"/>
      <c r="D48" s="92">
        <v>46199.0</v>
      </c>
      <c r="E48" s="300"/>
      <c r="F48" s="95" t="s">
        <v>34</v>
      </c>
      <c r="G48" s="95">
        <v>1783.03</v>
      </c>
      <c r="H48" s="98">
        <v>46203.0</v>
      </c>
      <c r="I48" s="78" t="s">
        <v>646</v>
      </c>
      <c r="J48" s="101"/>
      <c r="K48" s="102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</row>
    <row r="49" ht="18.0" customHeight="1">
      <c r="A49" s="113" t="s">
        <v>765</v>
      </c>
      <c r="B49" s="88" t="s">
        <v>766</v>
      </c>
      <c r="C49" s="88" t="s">
        <v>761</v>
      </c>
      <c r="D49" s="92">
        <v>46181.0</v>
      </c>
      <c r="E49" s="69">
        <v>11632.06</v>
      </c>
      <c r="F49" s="95" t="s">
        <v>34</v>
      </c>
      <c r="G49" s="95">
        <v>5816.03</v>
      </c>
      <c r="H49" s="98">
        <v>46181.0</v>
      </c>
      <c r="I49" s="78" t="s">
        <v>646</v>
      </c>
      <c r="J49" s="101"/>
      <c r="K49" s="102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</row>
    <row r="50" ht="18.0" customHeight="1">
      <c r="A50" s="329"/>
      <c r="B50" s="88" t="s">
        <v>769</v>
      </c>
      <c r="C50" s="300"/>
      <c r="D50" s="92">
        <v>46199.0</v>
      </c>
      <c r="E50" s="300"/>
      <c r="F50" s="95" t="s">
        <v>34</v>
      </c>
      <c r="G50" s="95">
        <v>5816.03</v>
      </c>
      <c r="H50" s="98">
        <v>46203.0</v>
      </c>
      <c r="I50" s="78" t="s">
        <v>646</v>
      </c>
      <c r="J50" s="101"/>
      <c r="K50" s="102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</row>
    <row r="51" ht="18.0" customHeight="1">
      <c r="A51" s="113" t="s">
        <v>770</v>
      </c>
      <c r="B51" s="88" t="s">
        <v>771</v>
      </c>
      <c r="C51" s="88" t="s">
        <v>652</v>
      </c>
      <c r="D51" s="92">
        <v>46196.0</v>
      </c>
      <c r="E51" s="69">
        <v>5850.0</v>
      </c>
      <c r="F51" s="95" t="s">
        <v>82</v>
      </c>
      <c r="G51" s="95">
        <v>2837.25</v>
      </c>
      <c r="H51" s="98">
        <v>46206.0</v>
      </c>
      <c r="I51" s="78" t="s">
        <v>646</v>
      </c>
      <c r="J51" s="101"/>
      <c r="K51" s="102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</row>
    <row r="52" ht="18.0" customHeight="1">
      <c r="A52" s="329"/>
      <c r="B52" s="88" t="s">
        <v>772</v>
      </c>
      <c r="C52" s="300"/>
      <c r="D52" s="92">
        <v>46204.0</v>
      </c>
      <c r="E52" s="300"/>
      <c r="F52" s="95" t="s">
        <v>82</v>
      </c>
      <c r="G52" s="95">
        <v>2837.25</v>
      </c>
      <c r="H52" s="98">
        <v>46217.0</v>
      </c>
      <c r="I52" s="78" t="s">
        <v>646</v>
      </c>
      <c r="J52" s="101"/>
      <c r="K52" s="102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</row>
    <row r="53" ht="18.0" customHeight="1">
      <c r="A53" s="388"/>
      <c r="B53" s="345"/>
      <c r="C53" s="345"/>
      <c r="D53" s="138"/>
      <c r="E53" s="259"/>
      <c r="F53" s="220"/>
      <c r="G53" s="143"/>
      <c r="H53" s="145"/>
      <c r="I53" s="206"/>
      <c r="J53" s="101"/>
      <c r="K53" s="102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</row>
    <row r="54" ht="18.0" customHeight="1">
      <c r="A54" s="388"/>
      <c r="B54" s="345"/>
      <c r="C54" s="345"/>
      <c r="D54" s="138"/>
      <c r="E54" s="259"/>
      <c r="F54" s="220"/>
      <c r="G54" s="143"/>
      <c r="H54" s="145"/>
      <c r="I54" s="206"/>
      <c r="J54" s="101"/>
      <c r="K54" s="102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</row>
    <row r="55" ht="18.0" customHeight="1">
      <c r="A55" s="388"/>
      <c r="B55" s="345"/>
      <c r="C55" s="345"/>
      <c r="D55" s="138"/>
      <c r="E55" s="259"/>
      <c r="F55" s="220"/>
      <c r="G55" s="143"/>
      <c r="H55" s="145"/>
      <c r="I55" s="206"/>
      <c r="J55" s="101"/>
      <c r="K55" s="102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</row>
    <row r="56" ht="18.0" customHeight="1">
      <c r="A56" s="388"/>
      <c r="B56" s="345"/>
      <c r="C56" s="345"/>
      <c r="D56" s="138"/>
      <c r="E56" s="259"/>
      <c r="F56" s="220"/>
      <c r="G56" s="143"/>
      <c r="H56" s="145"/>
      <c r="I56" s="206"/>
      <c r="J56" s="101"/>
      <c r="K56" s="102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</row>
    <row r="57" ht="18.0" customHeight="1">
      <c r="A57" s="389"/>
      <c r="B57" s="390"/>
      <c r="C57" s="390"/>
      <c r="D57" s="391"/>
      <c r="E57" s="392"/>
      <c r="F57" s="393"/>
      <c r="G57" s="395"/>
      <c r="H57" s="396"/>
      <c r="I57" s="397"/>
      <c r="J57" s="101"/>
      <c r="K57" s="102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</row>
    <row r="58" ht="15.0" customHeight="1">
      <c r="A58" s="272"/>
      <c r="B58" s="7"/>
      <c r="C58" s="7"/>
      <c r="D58" s="7"/>
      <c r="E58" s="398"/>
      <c r="F58" s="153"/>
      <c r="G58" s="271"/>
      <c r="H58" s="270"/>
      <c r="I58" s="7"/>
      <c r="J58" s="10"/>
      <c r="K58" s="12"/>
    </row>
    <row r="59" ht="15.0" customHeight="1">
      <c r="A59" s="272"/>
      <c r="B59" s="7"/>
      <c r="C59" s="7"/>
      <c r="D59" s="7"/>
      <c r="E59" s="398"/>
      <c r="F59" s="153"/>
      <c r="G59" s="271"/>
      <c r="H59" s="270"/>
      <c r="I59" s="7"/>
      <c r="J59" s="10"/>
      <c r="K59" s="12"/>
    </row>
    <row r="60" ht="15.0" customHeight="1">
      <c r="A60" s="272"/>
      <c r="B60" s="7"/>
      <c r="C60" s="7"/>
      <c r="D60" s="7"/>
      <c r="E60" s="398"/>
      <c r="F60" s="153"/>
      <c r="G60" s="271"/>
      <c r="H60" s="270"/>
      <c r="I60" s="7"/>
      <c r="J60" s="10"/>
      <c r="K60" s="12"/>
    </row>
    <row r="61" ht="15.0" customHeight="1">
      <c r="A61" s="272"/>
      <c r="B61" s="7"/>
      <c r="C61" s="7"/>
      <c r="D61" s="7"/>
      <c r="E61" s="398"/>
      <c r="F61" s="153"/>
      <c r="G61" s="271"/>
      <c r="H61" s="270"/>
      <c r="I61" s="7"/>
      <c r="J61" s="10"/>
      <c r="K61" s="12"/>
    </row>
    <row r="62" ht="15.0" customHeight="1">
      <c r="A62" s="272"/>
      <c r="B62" s="7"/>
      <c r="C62" s="7"/>
      <c r="D62" s="7"/>
      <c r="E62" s="398"/>
      <c r="F62" s="153"/>
      <c r="G62" s="271"/>
      <c r="H62" s="270"/>
      <c r="I62" s="7"/>
      <c r="J62" s="10"/>
      <c r="K62" s="12"/>
    </row>
    <row r="63" ht="15.0" customHeight="1">
      <c r="A63" s="272"/>
      <c r="B63" s="7"/>
      <c r="C63" s="7"/>
      <c r="D63" s="7"/>
      <c r="E63" s="398"/>
      <c r="F63" s="153"/>
      <c r="G63" s="271"/>
      <c r="H63" s="270"/>
      <c r="I63" s="7"/>
      <c r="J63" s="10"/>
      <c r="K63" s="12"/>
    </row>
    <row r="64" ht="15.0" customHeight="1">
      <c r="A64" s="272"/>
      <c r="B64" s="7"/>
      <c r="C64" s="7"/>
      <c r="D64" s="7"/>
      <c r="E64" s="398"/>
      <c r="F64" s="153"/>
      <c r="G64" s="271"/>
      <c r="H64" s="270"/>
      <c r="I64" s="7"/>
      <c r="J64" s="10"/>
      <c r="K64" s="12"/>
    </row>
    <row r="65" ht="15.0" customHeight="1">
      <c r="A65" s="272"/>
      <c r="B65" s="7"/>
      <c r="C65" s="7"/>
      <c r="D65" s="7"/>
      <c r="E65" s="398"/>
      <c r="F65" s="153"/>
      <c r="G65" s="271"/>
      <c r="H65" s="270"/>
      <c r="I65" s="7"/>
      <c r="J65" s="10"/>
      <c r="K65" s="12"/>
    </row>
    <row r="66" ht="15.0" customHeight="1">
      <c r="A66" s="272"/>
      <c r="B66" s="7"/>
      <c r="C66" s="7"/>
      <c r="D66" s="7"/>
      <c r="E66" s="398"/>
      <c r="F66" s="153"/>
      <c r="G66" s="271"/>
      <c r="H66" s="270"/>
      <c r="I66" s="7"/>
      <c r="J66" s="10"/>
      <c r="K66" s="12"/>
    </row>
    <row r="67" ht="15.0" customHeight="1">
      <c r="A67" s="272"/>
      <c r="B67" s="7"/>
      <c r="C67" s="7"/>
      <c r="D67" s="7"/>
      <c r="E67" s="398"/>
      <c r="F67" s="153"/>
      <c r="G67" s="271"/>
      <c r="H67" s="270"/>
      <c r="I67" s="7"/>
      <c r="J67" s="10"/>
      <c r="K67" s="12"/>
    </row>
    <row r="68" ht="15.0" customHeight="1">
      <c r="A68" s="272"/>
      <c r="B68" s="7"/>
      <c r="C68" s="7"/>
      <c r="D68" s="7"/>
      <c r="E68" s="398"/>
      <c r="F68" s="153"/>
      <c r="G68" s="271"/>
      <c r="H68" s="270"/>
      <c r="I68" s="7"/>
      <c r="J68" s="10"/>
      <c r="K68" s="12"/>
    </row>
    <row r="69" ht="15.0" customHeight="1">
      <c r="A69" s="272"/>
      <c r="B69" s="7"/>
      <c r="C69" s="7"/>
      <c r="D69" s="7"/>
      <c r="E69" s="398"/>
      <c r="F69" s="153"/>
      <c r="G69" s="271"/>
      <c r="H69" s="270"/>
      <c r="I69" s="7"/>
      <c r="J69" s="10"/>
      <c r="K69" s="12"/>
    </row>
    <row r="70" ht="15.0" customHeight="1">
      <c r="A70" s="272"/>
      <c r="B70" s="7"/>
      <c r="C70" s="7"/>
      <c r="D70" s="7"/>
      <c r="E70" s="398"/>
      <c r="F70" s="153"/>
      <c r="G70" s="271"/>
      <c r="H70" s="270"/>
      <c r="I70" s="7"/>
      <c r="J70" s="10"/>
      <c r="K70" s="12"/>
    </row>
    <row r="71" ht="15.0" customHeight="1">
      <c r="A71" s="272"/>
      <c r="B71" s="7"/>
      <c r="C71" s="7"/>
      <c r="D71" s="7"/>
      <c r="E71" s="398"/>
      <c r="F71" s="153"/>
      <c r="G71" s="271"/>
      <c r="H71" s="270"/>
      <c r="I71" s="7"/>
      <c r="J71" s="10"/>
      <c r="K71" s="12"/>
    </row>
    <row r="72" ht="15.0" customHeight="1">
      <c r="A72" s="272"/>
      <c r="B72" s="7"/>
      <c r="C72" s="7"/>
      <c r="D72" s="7"/>
      <c r="E72" s="398"/>
      <c r="F72" s="153"/>
      <c r="G72" s="271"/>
      <c r="H72" s="270"/>
      <c r="I72" s="7"/>
      <c r="J72" s="10"/>
      <c r="K72" s="12"/>
    </row>
    <row r="73" ht="15.0" customHeight="1">
      <c r="A73" s="272"/>
      <c r="B73" s="7"/>
      <c r="C73" s="7"/>
      <c r="D73" s="7"/>
      <c r="E73" s="398"/>
      <c r="F73" s="153"/>
      <c r="G73" s="271"/>
      <c r="H73" s="270"/>
      <c r="I73" s="7"/>
      <c r="J73" s="10"/>
      <c r="K73" s="12"/>
    </row>
    <row r="74" ht="15.0" customHeight="1">
      <c r="A74" s="272"/>
      <c r="B74" s="7"/>
      <c r="C74" s="7"/>
      <c r="D74" s="7"/>
      <c r="E74" s="398"/>
      <c r="F74" s="153"/>
      <c r="G74" s="271"/>
      <c r="H74" s="270"/>
      <c r="I74" s="7"/>
      <c r="J74" s="10"/>
      <c r="K74" s="12"/>
    </row>
    <row r="75" ht="15.0" customHeight="1">
      <c r="A75" s="272"/>
      <c r="B75" s="7"/>
      <c r="C75" s="7"/>
      <c r="D75" s="7"/>
      <c r="E75" s="398"/>
      <c r="F75" s="153"/>
      <c r="G75" s="271"/>
      <c r="H75" s="270"/>
      <c r="I75" s="7"/>
      <c r="J75" s="10"/>
      <c r="K75" s="12"/>
    </row>
    <row r="76" ht="15.0" customHeight="1">
      <c r="A76" s="272"/>
      <c r="B76" s="7"/>
      <c r="C76" s="7"/>
      <c r="D76" s="7"/>
      <c r="E76" s="398"/>
      <c r="F76" s="153"/>
      <c r="G76" s="271"/>
      <c r="H76" s="270"/>
      <c r="I76" s="7"/>
      <c r="J76" s="10"/>
      <c r="K76" s="12"/>
    </row>
    <row r="77" ht="15.0" customHeight="1">
      <c r="A77" s="272"/>
      <c r="B77" s="7"/>
      <c r="C77" s="7"/>
      <c r="D77" s="7"/>
      <c r="E77" s="398"/>
      <c r="F77" s="153"/>
      <c r="G77" s="271"/>
      <c r="H77" s="270"/>
      <c r="I77" s="7"/>
      <c r="J77" s="10"/>
      <c r="K77" s="12"/>
    </row>
    <row r="78" ht="15.0" customHeight="1">
      <c r="A78" s="272"/>
      <c r="B78" s="7"/>
      <c r="C78" s="7"/>
      <c r="D78" s="7"/>
      <c r="E78" s="398"/>
      <c r="F78" s="153"/>
      <c r="G78" s="271"/>
      <c r="H78" s="270"/>
      <c r="I78" s="7"/>
      <c r="J78" s="10"/>
      <c r="K78" s="12"/>
    </row>
    <row r="79" ht="15.0" customHeight="1">
      <c r="A79" s="272"/>
      <c r="B79" s="7"/>
      <c r="C79" s="7"/>
      <c r="D79" s="7"/>
      <c r="E79" s="398"/>
      <c r="F79" s="153"/>
      <c r="G79" s="271"/>
      <c r="H79" s="270"/>
      <c r="I79" s="7"/>
      <c r="J79" s="10"/>
      <c r="K79" s="12"/>
    </row>
    <row r="80" ht="15.0" customHeight="1">
      <c r="A80" s="272"/>
      <c r="B80" s="7"/>
      <c r="C80" s="7"/>
      <c r="D80" s="7"/>
      <c r="E80" s="398"/>
      <c r="F80" s="153"/>
      <c r="G80" s="271"/>
      <c r="H80" s="270"/>
      <c r="I80" s="7"/>
      <c r="J80" s="10"/>
      <c r="K80" s="12"/>
    </row>
    <row r="81" ht="15.0" customHeight="1">
      <c r="A81" s="272"/>
      <c r="B81" s="7"/>
      <c r="C81" s="7"/>
      <c r="D81" s="7"/>
      <c r="E81" s="398"/>
      <c r="F81" s="153"/>
      <c r="G81" s="271"/>
      <c r="H81" s="270"/>
      <c r="I81" s="7"/>
      <c r="J81" s="10"/>
      <c r="K81" s="12"/>
    </row>
    <row r="82" ht="15.0" customHeight="1">
      <c r="A82" s="272"/>
      <c r="B82" s="7"/>
      <c r="C82" s="7"/>
      <c r="D82" s="7"/>
      <c r="E82" s="398"/>
      <c r="F82" s="153"/>
      <c r="G82" s="271"/>
      <c r="H82" s="270"/>
      <c r="I82" s="7"/>
      <c r="J82" s="10"/>
      <c r="K82" s="12"/>
    </row>
    <row r="83" ht="15.0" customHeight="1">
      <c r="A83" s="272"/>
      <c r="B83" s="7"/>
      <c r="C83" s="7"/>
      <c r="D83" s="7"/>
      <c r="E83" s="398"/>
      <c r="F83" s="153"/>
      <c r="G83" s="271"/>
      <c r="H83" s="270"/>
      <c r="I83" s="7"/>
      <c r="J83" s="10"/>
      <c r="K83" s="12"/>
    </row>
    <row r="84" ht="15.0" customHeight="1">
      <c r="A84" s="272"/>
      <c r="B84" s="7"/>
      <c r="C84" s="7"/>
      <c r="D84" s="7"/>
      <c r="E84" s="398"/>
      <c r="F84" s="153"/>
      <c r="G84" s="271"/>
      <c r="H84" s="270"/>
      <c r="I84" s="7"/>
      <c r="J84" s="10"/>
      <c r="K84" s="12"/>
    </row>
    <row r="85" ht="15.0" customHeight="1">
      <c r="A85" s="272"/>
      <c r="B85" s="7"/>
      <c r="C85" s="7"/>
      <c r="D85" s="7"/>
      <c r="E85" s="398"/>
      <c r="F85" s="153"/>
      <c r="G85" s="271"/>
      <c r="H85" s="270"/>
      <c r="I85" s="7"/>
      <c r="J85" s="10"/>
      <c r="K85" s="12"/>
    </row>
    <row r="86" ht="15.0" customHeight="1">
      <c r="A86" s="272"/>
      <c r="B86" s="7"/>
      <c r="C86" s="7"/>
      <c r="D86" s="7"/>
      <c r="E86" s="398"/>
      <c r="F86" s="153"/>
      <c r="G86" s="271"/>
      <c r="H86" s="270"/>
      <c r="I86" s="7"/>
      <c r="J86" s="10"/>
      <c r="K86" s="12"/>
    </row>
    <row r="87" ht="15.0" customHeight="1">
      <c r="A87" s="272"/>
      <c r="B87" s="7"/>
      <c r="C87" s="7"/>
      <c r="D87" s="7"/>
      <c r="E87" s="398"/>
      <c r="F87" s="153"/>
      <c r="G87" s="271"/>
      <c r="H87" s="270"/>
      <c r="I87" s="7"/>
      <c r="J87" s="10"/>
      <c r="K87" s="12"/>
    </row>
    <row r="88" ht="15.0" customHeight="1">
      <c r="A88" s="272"/>
      <c r="B88" s="7"/>
      <c r="C88" s="7"/>
      <c r="D88" s="7"/>
      <c r="E88" s="398"/>
      <c r="F88" s="153"/>
      <c r="G88" s="271"/>
      <c r="H88" s="270"/>
      <c r="I88" s="7"/>
      <c r="J88" s="10"/>
      <c r="K88" s="12"/>
    </row>
    <row r="89" ht="15.0" customHeight="1">
      <c r="A89" s="272"/>
      <c r="B89" s="7"/>
      <c r="C89" s="7"/>
      <c r="D89" s="7"/>
      <c r="E89" s="398"/>
      <c r="F89" s="153"/>
      <c r="G89" s="271"/>
      <c r="H89" s="270"/>
      <c r="I89" s="7"/>
      <c r="J89" s="10"/>
      <c r="K89" s="12"/>
    </row>
    <row r="90" ht="15.0" customHeight="1">
      <c r="A90" s="272"/>
      <c r="B90" s="7"/>
      <c r="C90" s="7"/>
      <c r="D90" s="7"/>
      <c r="E90" s="398"/>
      <c r="F90" s="153"/>
      <c r="G90" s="271"/>
      <c r="H90" s="270"/>
      <c r="I90" s="7"/>
      <c r="J90" s="10"/>
      <c r="K90" s="12"/>
    </row>
    <row r="91" ht="15.0" customHeight="1">
      <c r="A91" s="272"/>
      <c r="B91" s="7"/>
      <c r="C91" s="7"/>
      <c r="D91" s="7"/>
      <c r="E91" s="398"/>
      <c r="F91" s="153"/>
      <c r="G91" s="271"/>
      <c r="H91" s="270"/>
      <c r="I91" s="7"/>
      <c r="J91" s="10"/>
      <c r="K91" s="12"/>
    </row>
    <row r="92" ht="15.0" customHeight="1">
      <c r="A92" s="272"/>
      <c r="B92" s="7"/>
      <c r="C92" s="7"/>
      <c r="D92" s="7"/>
      <c r="E92" s="398"/>
      <c r="F92" s="153"/>
      <c r="G92" s="271"/>
      <c r="H92" s="270"/>
      <c r="I92" s="7"/>
      <c r="J92" s="10"/>
      <c r="K92" s="12"/>
    </row>
    <row r="93" ht="15.0" customHeight="1">
      <c r="A93" s="272"/>
      <c r="B93" s="7"/>
      <c r="C93" s="7"/>
      <c r="D93" s="7"/>
      <c r="E93" s="398"/>
      <c r="F93" s="153"/>
      <c r="G93" s="271"/>
      <c r="H93" s="270"/>
      <c r="I93" s="7"/>
      <c r="J93" s="10"/>
      <c r="K93" s="12"/>
    </row>
    <row r="94" ht="15.0" customHeight="1">
      <c r="A94" s="272"/>
      <c r="B94" s="7"/>
      <c r="C94" s="7"/>
      <c r="D94" s="7"/>
      <c r="E94" s="398"/>
      <c r="F94" s="153"/>
      <c r="G94" s="271"/>
      <c r="H94" s="270"/>
      <c r="I94" s="7"/>
      <c r="J94" s="10"/>
      <c r="K94" s="12"/>
    </row>
    <row r="95" ht="15.0" customHeight="1">
      <c r="A95" s="272"/>
      <c r="B95" s="7"/>
      <c r="C95" s="7"/>
      <c r="D95" s="7"/>
      <c r="E95" s="398"/>
      <c r="F95" s="153"/>
      <c r="G95" s="271"/>
      <c r="H95" s="270"/>
      <c r="I95" s="7"/>
      <c r="J95" s="10"/>
      <c r="K95" s="12"/>
    </row>
    <row r="96" ht="15.0" customHeight="1">
      <c r="A96" s="272"/>
      <c r="B96" s="7"/>
      <c r="C96" s="7"/>
      <c r="D96" s="7"/>
      <c r="E96" s="398"/>
      <c r="F96" s="153"/>
      <c r="G96" s="271"/>
      <c r="H96" s="270"/>
      <c r="I96" s="7"/>
      <c r="J96" s="10"/>
      <c r="K96" s="12"/>
    </row>
    <row r="97" ht="15.0" customHeight="1">
      <c r="A97" s="272"/>
      <c r="B97" s="7"/>
      <c r="C97" s="7"/>
      <c r="D97" s="7"/>
      <c r="E97" s="398"/>
      <c r="F97" s="153"/>
      <c r="G97" s="271"/>
      <c r="H97" s="270"/>
      <c r="I97" s="7"/>
      <c r="J97" s="10"/>
      <c r="K97" s="12"/>
    </row>
    <row r="98" ht="15.0" customHeight="1">
      <c r="A98" s="272"/>
      <c r="B98" s="7"/>
      <c r="C98" s="7"/>
      <c r="D98" s="7"/>
      <c r="E98" s="398"/>
      <c r="F98" s="153"/>
      <c r="G98" s="271"/>
      <c r="H98" s="270"/>
      <c r="I98" s="7"/>
      <c r="J98" s="10"/>
      <c r="K98" s="12"/>
    </row>
    <row r="99" ht="15.0" customHeight="1">
      <c r="A99" s="272"/>
      <c r="B99" s="7"/>
      <c r="C99" s="7"/>
      <c r="D99" s="7"/>
      <c r="E99" s="398"/>
      <c r="F99" s="153"/>
      <c r="G99" s="271"/>
      <c r="H99" s="270"/>
      <c r="I99" s="7"/>
      <c r="J99" s="10"/>
      <c r="K99" s="12"/>
    </row>
    <row r="100" ht="15.0" customHeight="1">
      <c r="A100" s="272"/>
      <c r="B100" s="7"/>
      <c r="C100" s="7"/>
      <c r="D100" s="7"/>
      <c r="E100" s="398"/>
      <c r="F100" s="153"/>
      <c r="G100" s="271"/>
      <c r="H100" s="270"/>
      <c r="I100" s="7"/>
      <c r="J100" s="10"/>
      <c r="K100" s="12"/>
    </row>
    <row r="101" ht="15.0" customHeight="1">
      <c r="A101" s="272"/>
      <c r="B101" s="7"/>
      <c r="C101" s="7"/>
      <c r="D101" s="7"/>
      <c r="E101" s="398"/>
      <c r="F101" s="153"/>
      <c r="G101" s="271"/>
      <c r="H101" s="270"/>
      <c r="I101" s="7"/>
      <c r="J101" s="10"/>
      <c r="K101" s="12"/>
    </row>
    <row r="102" ht="15.0" customHeight="1">
      <c r="A102" s="272"/>
      <c r="B102" s="7"/>
      <c r="C102" s="7"/>
      <c r="D102" s="7"/>
      <c r="E102" s="398"/>
      <c r="F102" s="153"/>
      <c r="G102" s="271"/>
      <c r="H102" s="270"/>
      <c r="I102" s="7"/>
      <c r="J102" s="10"/>
      <c r="K102" s="12"/>
    </row>
    <row r="103" ht="15.0" customHeight="1">
      <c r="A103" s="272"/>
      <c r="B103" s="7"/>
      <c r="C103" s="7"/>
      <c r="D103" s="7"/>
      <c r="E103" s="398"/>
      <c r="F103" s="153"/>
      <c r="G103" s="271"/>
      <c r="H103" s="270"/>
      <c r="I103" s="7"/>
      <c r="J103" s="10"/>
      <c r="K103" s="12"/>
    </row>
    <row r="104" ht="15.0" customHeight="1">
      <c r="A104" s="272"/>
      <c r="B104" s="7"/>
      <c r="C104" s="7"/>
      <c r="D104" s="7"/>
      <c r="E104" s="398"/>
      <c r="F104" s="153"/>
      <c r="G104" s="271"/>
      <c r="H104" s="270"/>
      <c r="I104" s="7"/>
      <c r="J104" s="10"/>
      <c r="K104" s="12"/>
    </row>
    <row r="105" ht="15.0" customHeight="1">
      <c r="A105" s="272"/>
      <c r="B105" s="7"/>
      <c r="C105" s="7"/>
      <c r="D105" s="7"/>
      <c r="E105" s="398"/>
      <c r="F105" s="153"/>
      <c r="G105" s="271"/>
      <c r="H105" s="270"/>
      <c r="I105" s="7"/>
      <c r="J105" s="10"/>
      <c r="K105" s="12"/>
    </row>
    <row r="106" ht="15.0" customHeight="1">
      <c r="A106" s="272"/>
      <c r="B106" s="7"/>
      <c r="C106" s="7"/>
      <c r="D106" s="7"/>
      <c r="E106" s="398"/>
      <c r="F106" s="153"/>
      <c r="G106" s="271"/>
      <c r="H106" s="270"/>
      <c r="I106" s="7"/>
      <c r="J106" s="10"/>
      <c r="K106" s="12"/>
    </row>
    <row r="107" ht="15.0" customHeight="1">
      <c r="A107" s="272"/>
      <c r="B107" s="7"/>
      <c r="C107" s="7"/>
      <c r="D107" s="7"/>
      <c r="E107" s="398"/>
      <c r="F107" s="153"/>
      <c r="G107" s="271"/>
      <c r="H107" s="270"/>
      <c r="I107" s="7"/>
      <c r="J107" s="10"/>
      <c r="K107" s="12"/>
    </row>
    <row r="108" ht="15.0" customHeight="1">
      <c r="A108" s="272"/>
      <c r="B108" s="7"/>
      <c r="C108" s="7"/>
      <c r="D108" s="7"/>
      <c r="E108" s="398"/>
      <c r="F108" s="153"/>
      <c r="G108" s="271"/>
      <c r="H108" s="270"/>
      <c r="I108" s="7"/>
      <c r="J108" s="10"/>
      <c r="K108" s="12"/>
    </row>
    <row r="109" ht="15.0" customHeight="1">
      <c r="A109" s="272"/>
      <c r="B109" s="7"/>
      <c r="C109" s="7"/>
      <c r="D109" s="7"/>
      <c r="E109" s="398"/>
      <c r="F109" s="153"/>
      <c r="G109" s="271"/>
      <c r="H109" s="270"/>
      <c r="I109" s="7"/>
      <c r="J109" s="10"/>
      <c r="K109" s="12"/>
    </row>
    <row r="110" ht="15.0" customHeight="1">
      <c r="A110" s="272"/>
      <c r="B110" s="7"/>
      <c r="C110" s="7"/>
      <c r="D110" s="7"/>
      <c r="E110" s="398"/>
      <c r="F110" s="153"/>
      <c r="G110" s="271"/>
      <c r="H110" s="270"/>
      <c r="I110" s="7"/>
      <c r="J110" s="10"/>
      <c r="K110" s="12"/>
    </row>
    <row r="111" ht="15.0" customHeight="1">
      <c r="A111" s="272"/>
      <c r="B111" s="7"/>
      <c r="C111" s="7"/>
      <c r="D111" s="7"/>
      <c r="E111" s="398"/>
      <c r="F111" s="153"/>
      <c r="G111" s="271"/>
      <c r="H111" s="270"/>
      <c r="I111" s="7"/>
      <c r="J111" s="10"/>
      <c r="K111" s="12"/>
    </row>
    <row r="112" ht="15.0" customHeight="1">
      <c r="A112" s="272"/>
      <c r="B112" s="7"/>
      <c r="C112" s="7"/>
      <c r="D112" s="7"/>
      <c r="E112" s="398"/>
      <c r="F112" s="153"/>
      <c r="G112" s="271"/>
      <c r="H112" s="270"/>
      <c r="I112" s="7"/>
      <c r="J112" s="10"/>
      <c r="K112" s="12"/>
    </row>
    <row r="113" ht="15.0" customHeight="1">
      <c r="A113" s="272"/>
      <c r="B113" s="7"/>
      <c r="C113" s="7"/>
      <c r="D113" s="7"/>
      <c r="E113" s="398"/>
      <c r="F113" s="153"/>
      <c r="G113" s="271"/>
      <c r="H113" s="270"/>
      <c r="I113" s="7"/>
      <c r="J113" s="10"/>
      <c r="K113" s="12"/>
    </row>
    <row r="114" ht="15.0" customHeight="1">
      <c r="A114" s="272"/>
      <c r="B114" s="7"/>
      <c r="C114" s="7"/>
      <c r="D114" s="7"/>
      <c r="E114" s="398"/>
      <c r="F114" s="153"/>
      <c r="G114" s="271"/>
      <c r="H114" s="270"/>
      <c r="I114" s="7"/>
      <c r="J114" s="10"/>
      <c r="K114" s="12"/>
    </row>
    <row r="115" ht="15.0" customHeight="1">
      <c r="A115" s="272"/>
      <c r="B115" s="7"/>
      <c r="C115" s="7"/>
      <c r="D115" s="7"/>
      <c r="E115" s="398"/>
      <c r="F115" s="153"/>
      <c r="G115" s="271"/>
      <c r="H115" s="270"/>
      <c r="I115" s="7"/>
      <c r="J115" s="10"/>
      <c r="K115" s="12"/>
    </row>
    <row r="116" ht="15.0" customHeight="1">
      <c r="A116" s="272"/>
      <c r="B116" s="7"/>
      <c r="C116" s="7"/>
      <c r="D116" s="7"/>
      <c r="E116" s="398"/>
      <c r="F116" s="153"/>
      <c r="G116" s="271"/>
      <c r="H116" s="270"/>
      <c r="I116" s="7"/>
      <c r="J116" s="10"/>
      <c r="K116" s="12"/>
    </row>
    <row r="117" ht="15.0" customHeight="1">
      <c r="A117" s="272"/>
      <c r="B117" s="7"/>
      <c r="C117" s="7"/>
      <c r="D117" s="7"/>
      <c r="E117" s="398"/>
      <c r="F117" s="153"/>
      <c r="G117" s="271"/>
      <c r="H117" s="270"/>
      <c r="I117" s="7"/>
      <c r="J117" s="10"/>
      <c r="K117" s="12"/>
    </row>
    <row r="118" ht="15.0" customHeight="1">
      <c r="A118" s="272"/>
      <c r="B118" s="7"/>
      <c r="C118" s="7"/>
      <c r="D118" s="7"/>
      <c r="E118" s="398"/>
      <c r="F118" s="153"/>
      <c r="G118" s="271"/>
      <c r="H118" s="270"/>
      <c r="I118" s="7"/>
      <c r="J118" s="10"/>
      <c r="K118" s="12"/>
    </row>
    <row r="119" ht="15.0" customHeight="1">
      <c r="A119" s="272"/>
      <c r="B119" s="7"/>
      <c r="C119" s="7"/>
      <c r="D119" s="7"/>
      <c r="E119" s="398"/>
      <c r="F119" s="153"/>
      <c r="G119" s="271"/>
      <c r="H119" s="270"/>
      <c r="I119" s="7"/>
      <c r="J119" s="10"/>
      <c r="K119" s="12"/>
    </row>
    <row r="120" ht="15.0" customHeight="1">
      <c r="A120" s="272"/>
      <c r="B120" s="7"/>
      <c r="C120" s="7"/>
      <c r="D120" s="7"/>
      <c r="E120" s="398"/>
      <c r="F120" s="153"/>
      <c r="G120" s="271"/>
      <c r="H120" s="270"/>
      <c r="I120" s="7"/>
      <c r="J120" s="10"/>
      <c r="K120" s="12"/>
    </row>
    <row r="121" ht="15.0" customHeight="1">
      <c r="A121" s="272"/>
      <c r="B121" s="7"/>
      <c r="C121" s="7"/>
      <c r="D121" s="7"/>
      <c r="E121" s="398"/>
      <c r="F121" s="153"/>
      <c r="G121" s="271"/>
      <c r="H121" s="270"/>
      <c r="I121" s="7"/>
      <c r="J121" s="10"/>
      <c r="K121" s="12"/>
    </row>
    <row r="122" ht="15.0" customHeight="1">
      <c r="A122" s="272"/>
      <c r="B122" s="7"/>
      <c r="C122" s="7"/>
      <c r="D122" s="7"/>
      <c r="E122" s="398"/>
      <c r="F122" s="153"/>
      <c r="G122" s="271"/>
      <c r="H122" s="270"/>
      <c r="I122" s="7"/>
      <c r="J122" s="10"/>
      <c r="K122" s="12"/>
    </row>
    <row r="123" ht="15.0" customHeight="1">
      <c r="A123" s="272"/>
      <c r="B123" s="7"/>
      <c r="C123" s="7"/>
      <c r="D123" s="7"/>
      <c r="E123" s="398"/>
      <c r="F123" s="153"/>
      <c r="G123" s="271"/>
      <c r="H123" s="270"/>
      <c r="I123" s="7"/>
      <c r="J123" s="10"/>
      <c r="K123" s="12"/>
    </row>
    <row r="124" ht="15.0" customHeight="1">
      <c r="A124" s="272"/>
      <c r="B124" s="7"/>
      <c r="C124" s="7"/>
      <c r="D124" s="7"/>
      <c r="E124" s="398"/>
      <c r="F124" s="153"/>
      <c r="G124" s="271"/>
      <c r="H124" s="270"/>
      <c r="I124" s="7"/>
      <c r="J124" s="10"/>
      <c r="K124" s="12"/>
    </row>
    <row r="125" ht="15.0" customHeight="1">
      <c r="A125" s="272"/>
      <c r="B125" s="7"/>
      <c r="C125" s="7"/>
      <c r="D125" s="7"/>
      <c r="E125" s="398"/>
      <c r="F125" s="153"/>
      <c r="G125" s="271"/>
      <c r="H125" s="270"/>
      <c r="I125" s="7"/>
      <c r="J125" s="10"/>
      <c r="K125" s="12"/>
    </row>
    <row r="126" ht="15.0" customHeight="1">
      <c r="A126" s="272"/>
      <c r="B126" s="7"/>
      <c r="C126" s="7"/>
      <c r="D126" s="7"/>
      <c r="E126" s="398"/>
      <c r="F126" s="153"/>
      <c r="G126" s="271"/>
      <c r="H126" s="270"/>
      <c r="I126" s="7"/>
      <c r="J126" s="10"/>
      <c r="K126" s="12"/>
    </row>
    <row r="127" ht="15.0" customHeight="1">
      <c r="A127" s="272"/>
      <c r="B127" s="7"/>
      <c r="C127" s="7"/>
      <c r="D127" s="7"/>
      <c r="E127" s="398"/>
      <c r="F127" s="153"/>
      <c r="G127" s="271"/>
      <c r="H127" s="270"/>
      <c r="I127" s="7"/>
      <c r="J127" s="10"/>
      <c r="K127" s="12"/>
    </row>
    <row r="128" ht="15.0" customHeight="1">
      <c r="A128" s="272"/>
      <c r="B128" s="7"/>
      <c r="C128" s="7"/>
      <c r="D128" s="7"/>
      <c r="E128" s="398"/>
      <c r="F128" s="153"/>
      <c r="G128" s="271"/>
      <c r="H128" s="270"/>
      <c r="I128" s="7"/>
      <c r="J128" s="10"/>
      <c r="K128" s="12"/>
    </row>
    <row r="129" ht="15.0" customHeight="1">
      <c r="A129" s="272"/>
      <c r="B129" s="7"/>
      <c r="C129" s="7"/>
      <c r="D129" s="7"/>
      <c r="E129" s="398"/>
      <c r="F129" s="153"/>
      <c r="G129" s="271"/>
      <c r="H129" s="270"/>
      <c r="I129" s="7"/>
      <c r="J129" s="10"/>
      <c r="K129" s="12"/>
    </row>
    <row r="130" ht="15.0" customHeight="1">
      <c r="A130" s="272"/>
      <c r="B130" s="7"/>
      <c r="C130" s="7"/>
      <c r="D130" s="7"/>
      <c r="E130" s="398"/>
      <c r="F130" s="153"/>
      <c r="G130" s="271"/>
      <c r="H130" s="270"/>
      <c r="I130" s="7"/>
      <c r="J130" s="10"/>
      <c r="K130" s="12"/>
    </row>
    <row r="131" ht="15.0" customHeight="1">
      <c r="A131" s="272"/>
      <c r="B131" s="7"/>
      <c r="C131" s="7"/>
      <c r="D131" s="7"/>
      <c r="E131" s="398"/>
      <c r="F131" s="153"/>
      <c r="G131" s="271"/>
      <c r="H131" s="270"/>
      <c r="I131" s="7"/>
      <c r="J131" s="10"/>
      <c r="K131" s="12"/>
    </row>
    <row r="132" ht="15.0" customHeight="1">
      <c r="A132" s="272"/>
      <c r="B132" s="7"/>
      <c r="C132" s="7"/>
      <c r="D132" s="7"/>
      <c r="E132" s="398"/>
      <c r="F132" s="153"/>
      <c r="G132" s="271"/>
      <c r="H132" s="270"/>
      <c r="I132" s="7"/>
      <c r="J132" s="10"/>
      <c r="K132" s="12"/>
    </row>
    <row r="133" ht="15.0" customHeight="1">
      <c r="A133" s="272"/>
      <c r="B133" s="7"/>
      <c r="C133" s="7"/>
      <c r="D133" s="7"/>
      <c r="E133" s="398"/>
      <c r="F133" s="153"/>
      <c r="G133" s="271"/>
      <c r="H133" s="270"/>
      <c r="I133" s="7"/>
      <c r="J133" s="10"/>
      <c r="K133" s="12"/>
    </row>
    <row r="134" ht="15.0" customHeight="1">
      <c r="A134" s="272"/>
      <c r="B134" s="7"/>
      <c r="C134" s="7"/>
      <c r="D134" s="7"/>
      <c r="E134" s="398"/>
      <c r="F134" s="153"/>
      <c r="G134" s="271"/>
      <c r="H134" s="270"/>
      <c r="I134" s="7"/>
      <c r="J134" s="10"/>
      <c r="K134" s="12"/>
    </row>
    <row r="135" ht="15.0" customHeight="1">
      <c r="A135" s="272"/>
      <c r="B135" s="7"/>
      <c r="C135" s="7"/>
      <c r="D135" s="7"/>
      <c r="E135" s="398"/>
      <c r="F135" s="153"/>
      <c r="G135" s="271"/>
      <c r="H135" s="270"/>
      <c r="I135" s="7"/>
      <c r="J135" s="10"/>
      <c r="K135" s="12"/>
    </row>
    <row r="136" ht="15.0" customHeight="1">
      <c r="A136" s="272"/>
      <c r="B136" s="7"/>
      <c r="C136" s="7"/>
      <c r="D136" s="7"/>
      <c r="E136" s="398"/>
      <c r="F136" s="153"/>
      <c r="G136" s="271"/>
      <c r="H136" s="270"/>
      <c r="I136" s="7"/>
      <c r="J136" s="10"/>
      <c r="K136" s="12"/>
    </row>
    <row r="137" ht="15.0" customHeight="1">
      <c r="A137" s="272"/>
      <c r="B137" s="7"/>
      <c r="C137" s="7"/>
      <c r="D137" s="7"/>
      <c r="E137" s="398"/>
      <c r="F137" s="153"/>
      <c r="G137" s="271"/>
      <c r="H137" s="270"/>
      <c r="I137" s="7"/>
      <c r="J137" s="10"/>
      <c r="K137" s="12"/>
    </row>
    <row r="138" ht="15.0" customHeight="1">
      <c r="A138" s="272"/>
      <c r="B138" s="7"/>
      <c r="C138" s="7"/>
      <c r="D138" s="7"/>
      <c r="E138" s="398"/>
      <c r="F138" s="153"/>
      <c r="G138" s="271"/>
      <c r="H138" s="270"/>
      <c r="I138" s="7"/>
      <c r="J138" s="10"/>
      <c r="K138" s="12"/>
    </row>
    <row r="139" ht="15.0" customHeight="1">
      <c r="A139" s="272"/>
      <c r="B139" s="7"/>
      <c r="C139" s="7"/>
      <c r="D139" s="7"/>
      <c r="E139" s="398"/>
      <c r="F139" s="153"/>
      <c r="G139" s="271"/>
      <c r="H139" s="270"/>
      <c r="I139" s="7"/>
      <c r="J139" s="10"/>
      <c r="K139" s="12"/>
    </row>
    <row r="140" ht="15.0" customHeight="1">
      <c r="A140" s="272"/>
      <c r="B140" s="7"/>
      <c r="C140" s="7"/>
      <c r="D140" s="7"/>
      <c r="E140" s="398"/>
      <c r="F140" s="153"/>
      <c r="G140" s="271"/>
      <c r="H140" s="270"/>
      <c r="I140" s="7"/>
      <c r="J140" s="10"/>
      <c r="K140" s="12"/>
    </row>
    <row r="141" ht="15.0" customHeight="1">
      <c r="A141" s="272"/>
      <c r="B141" s="7"/>
      <c r="C141" s="7"/>
      <c r="D141" s="7"/>
      <c r="E141" s="398"/>
      <c r="F141" s="153"/>
      <c r="G141" s="271"/>
      <c r="H141" s="270"/>
      <c r="I141" s="7"/>
      <c r="J141" s="10"/>
      <c r="K141" s="12"/>
    </row>
    <row r="142" ht="15.0" customHeight="1">
      <c r="A142" s="272"/>
      <c r="B142" s="7"/>
      <c r="C142" s="7"/>
      <c r="D142" s="7"/>
      <c r="E142" s="398"/>
      <c r="F142" s="153"/>
      <c r="G142" s="271"/>
      <c r="H142" s="270"/>
      <c r="I142" s="7"/>
      <c r="J142" s="10"/>
      <c r="K142" s="12"/>
    </row>
    <row r="143" ht="15.0" customHeight="1">
      <c r="A143" s="272"/>
      <c r="B143" s="7"/>
      <c r="C143" s="7"/>
      <c r="D143" s="7"/>
      <c r="E143" s="398"/>
      <c r="F143" s="153"/>
      <c r="G143" s="271"/>
      <c r="H143" s="270"/>
      <c r="I143" s="7"/>
      <c r="J143" s="10"/>
      <c r="K143" s="12"/>
    </row>
    <row r="144" ht="15.0" customHeight="1">
      <c r="A144" s="272"/>
      <c r="B144" s="7"/>
      <c r="C144" s="7"/>
      <c r="D144" s="7"/>
      <c r="E144" s="398"/>
      <c r="F144" s="153"/>
      <c r="G144" s="271"/>
      <c r="H144" s="270"/>
      <c r="I144" s="7"/>
      <c r="J144" s="10"/>
      <c r="K144" s="12"/>
    </row>
    <row r="145" ht="15.0" customHeight="1">
      <c r="A145" s="272"/>
      <c r="B145" s="7"/>
      <c r="C145" s="7"/>
      <c r="D145" s="7"/>
      <c r="E145" s="398"/>
      <c r="F145" s="153"/>
      <c r="G145" s="271"/>
      <c r="H145" s="270"/>
      <c r="I145" s="7"/>
      <c r="J145" s="10"/>
      <c r="K145" s="12"/>
    </row>
    <row r="146" ht="15.0" customHeight="1">
      <c r="A146" s="272"/>
      <c r="B146" s="7"/>
      <c r="C146" s="7"/>
      <c r="D146" s="7"/>
      <c r="E146" s="398"/>
      <c r="F146" s="153"/>
      <c r="G146" s="271"/>
      <c r="H146" s="270"/>
      <c r="I146" s="7"/>
      <c r="J146" s="10"/>
      <c r="K146" s="12"/>
    </row>
    <row r="147" ht="15.0" customHeight="1">
      <c r="A147" s="272"/>
      <c r="B147" s="7"/>
      <c r="C147" s="7"/>
      <c r="D147" s="7"/>
      <c r="E147" s="398"/>
      <c r="F147" s="153"/>
      <c r="G147" s="271"/>
      <c r="H147" s="270"/>
      <c r="I147" s="7"/>
      <c r="J147" s="10"/>
      <c r="K147" s="12"/>
    </row>
    <row r="148" ht="15.0" customHeight="1">
      <c r="A148" s="272"/>
      <c r="B148" s="7"/>
      <c r="C148" s="7"/>
      <c r="D148" s="7"/>
      <c r="E148" s="398"/>
      <c r="F148" s="153"/>
      <c r="G148" s="271"/>
      <c r="H148" s="270"/>
      <c r="I148" s="7"/>
      <c r="J148" s="10"/>
      <c r="K148" s="12"/>
    </row>
    <row r="149" ht="15.0" customHeight="1">
      <c r="A149" s="272"/>
      <c r="B149" s="7"/>
      <c r="C149" s="7"/>
      <c r="D149" s="7"/>
      <c r="E149" s="398"/>
      <c r="F149" s="153"/>
      <c r="G149" s="271"/>
      <c r="H149" s="270"/>
      <c r="I149" s="7"/>
      <c r="J149" s="10"/>
      <c r="K149" s="12"/>
    </row>
    <row r="150" ht="15.0" customHeight="1">
      <c r="A150" s="272"/>
      <c r="B150" s="7"/>
      <c r="C150" s="7"/>
      <c r="D150" s="7"/>
      <c r="E150" s="398"/>
      <c r="F150" s="153"/>
      <c r="G150" s="271"/>
      <c r="H150" s="270"/>
      <c r="I150" s="7"/>
      <c r="J150" s="10"/>
      <c r="K150" s="12"/>
    </row>
    <row r="151" ht="15.0" customHeight="1">
      <c r="A151" s="272"/>
      <c r="B151" s="7"/>
      <c r="C151" s="7"/>
      <c r="D151" s="7"/>
      <c r="E151" s="398"/>
      <c r="F151" s="153"/>
      <c r="G151" s="271"/>
      <c r="H151" s="270"/>
      <c r="I151" s="7"/>
      <c r="J151" s="10"/>
      <c r="K151" s="12"/>
    </row>
    <row r="152" ht="15.0" customHeight="1">
      <c r="A152" s="272"/>
      <c r="B152" s="7"/>
      <c r="C152" s="7"/>
      <c r="D152" s="7"/>
      <c r="E152" s="398"/>
      <c r="F152" s="153"/>
      <c r="G152" s="271"/>
      <c r="H152" s="270"/>
      <c r="I152" s="7"/>
      <c r="J152" s="10"/>
      <c r="K152" s="12"/>
    </row>
    <row r="153" ht="15.0" customHeight="1">
      <c r="A153" s="272"/>
      <c r="B153" s="7"/>
      <c r="C153" s="7"/>
      <c r="D153" s="7"/>
      <c r="E153" s="398"/>
      <c r="F153" s="153"/>
      <c r="G153" s="271"/>
      <c r="H153" s="270"/>
      <c r="I153" s="7"/>
      <c r="J153" s="10"/>
      <c r="K153" s="12"/>
    </row>
    <row r="154" ht="15.0" customHeight="1">
      <c r="A154" s="272"/>
      <c r="B154" s="7"/>
      <c r="C154" s="7"/>
      <c r="D154" s="7"/>
      <c r="E154" s="398"/>
      <c r="F154" s="153"/>
      <c r="G154" s="271"/>
      <c r="H154" s="270"/>
      <c r="I154" s="7"/>
      <c r="J154" s="10"/>
      <c r="K154" s="12"/>
    </row>
    <row r="155" ht="15.0" customHeight="1">
      <c r="A155" s="272"/>
      <c r="B155" s="7"/>
      <c r="C155" s="7"/>
      <c r="D155" s="7"/>
      <c r="E155" s="398"/>
      <c r="F155" s="153"/>
      <c r="G155" s="271"/>
      <c r="H155" s="270"/>
      <c r="I155" s="7"/>
      <c r="J155" s="10"/>
      <c r="K155" s="12"/>
    </row>
    <row r="156" ht="15.0" customHeight="1">
      <c r="A156" s="272"/>
      <c r="B156" s="7"/>
      <c r="C156" s="7"/>
      <c r="D156" s="7"/>
      <c r="E156" s="398"/>
      <c r="F156" s="153"/>
      <c r="G156" s="271"/>
      <c r="H156" s="270"/>
      <c r="I156" s="7"/>
      <c r="J156" s="10"/>
      <c r="K156" s="12"/>
    </row>
    <row r="157" ht="15.0" customHeight="1">
      <c r="A157" s="272"/>
      <c r="B157" s="7"/>
      <c r="C157" s="7"/>
      <c r="D157" s="7"/>
      <c r="E157" s="398"/>
      <c r="F157" s="153"/>
      <c r="G157" s="271"/>
      <c r="H157" s="270"/>
      <c r="I157" s="7"/>
      <c r="J157" s="10"/>
      <c r="K157" s="12"/>
    </row>
    <row r="158" ht="15.0" customHeight="1">
      <c r="A158" s="272"/>
      <c r="B158" s="7"/>
      <c r="C158" s="7"/>
      <c r="D158" s="7"/>
      <c r="E158" s="398"/>
      <c r="F158" s="153"/>
      <c r="G158" s="271"/>
      <c r="H158" s="270"/>
      <c r="I158" s="7"/>
      <c r="J158" s="10"/>
      <c r="K158" s="12"/>
    </row>
    <row r="159" ht="15.0" customHeight="1">
      <c r="A159" s="272"/>
      <c r="B159" s="7"/>
      <c r="C159" s="7"/>
      <c r="D159" s="7"/>
      <c r="E159" s="398"/>
      <c r="F159" s="153"/>
      <c r="G159" s="271"/>
      <c r="H159" s="270"/>
      <c r="I159" s="7"/>
      <c r="J159" s="10"/>
      <c r="K159" s="12"/>
    </row>
    <row r="160" ht="15.0" customHeight="1">
      <c r="A160" s="272"/>
      <c r="B160" s="7"/>
      <c r="C160" s="7"/>
      <c r="D160" s="7"/>
      <c r="E160" s="398"/>
      <c r="F160" s="153"/>
      <c r="G160" s="271"/>
      <c r="H160" s="270"/>
      <c r="I160" s="7"/>
      <c r="J160" s="10"/>
      <c r="K160" s="12"/>
    </row>
    <row r="161" ht="15.0" customHeight="1">
      <c r="A161" s="272"/>
      <c r="B161" s="7"/>
      <c r="C161" s="7"/>
      <c r="D161" s="7"/>
      <c r="E161" s="398"/>
      <c r="F161" s="153"/>
      <c r="G161" s="271"/>
      <c r="H161" s="270"/>
      <c r="I161" s="7"/>
      <c r="J161" s="10"/>
      <c r="K161" s="12"/>
    </row>
    <row r="162" ht="15.0" customHeight="1">
      <c r="A162" s="272"/>
      <c r="B162" s="7"/>
      <c r="C162" s="7"/>
      <c r="D162" s="7"/>
      <c r="E162" s="398"/>
      <c r="F162" s="153"/>
      <c r="G162" s="271"/>
      <c r="H162" s="270"/>
      <c r="I162" s="7"/>
      <c r="J162" s="10"/>
      <c r="K162" s="12"/>
    </row>
    <row r="163" ht="15.0" customHeight="1">
      <c r="A163" s="272"/>
      <c r="B163" s="7"/>
      <c r="C163" s="7"/>
      <c r="D163" s="7"/>
      <c r="E163" s="398"/>
      <c r="F163" s="153"/>
      <c r="G163" s="271"/>
      <c r="H163" s="270"/>
      <c r="I163" s="7"/>
      <c r="J163" s="10"/>
      <c r="K163" s="12"/>
    </row>
    <row r="164" ht="15.0" customHeight="1">
      <c r="A164" s="272"/>
      <c r="B164" s="7"/>
      <c r="C164" s="7"/>
      <c r="D164" s="7"/>
      <c r="E164" s="398"/>
      <c r="F164" s="153"/>
      <c r="G164" s="271"/>
      <c r="H164" s="270"/>
      <c r="I164" s="7"/>
      <c r="J164" s="10"/>
      <c r="K164" s="12"/>
    </row>
    <row r="165" ht="15.0" customHeight="1">
      <c r="A165" s="272"/>
      <c r="B165" s="7"/>
      <c r="C165" s="7"/>
      <c r="D165" s="7"/>
      <c r="E165" s="398"/>
      <c r="F165" s="153"/>
      <c r="G165" s="271"/>
      <c r="H165" s="270"/>
      <c r="I165" s="7"/>
      <c r="J165" s="10"/>
      <c r="K165" s="12"/>
    </row>
    <row r="166" ht="15.0" customHeight="1">
      <c r="A166" s="272"/>
      <c r="B166" s="7"/>
      <c r="C166" s="7"/>
      <c r="D166" s="7"/>
      <c r="E166" s="398"/>
      <c r="F166" s="153"/>
      <c r="G166" s="271"/>
      <c r="H166" s="270"/>
      <c r="I166" s="7"/>
      <c r="J166" s="10"/>
      <c r="K166" s="12"/>
    </row>
    <row r="167" ht="15.0" customHeight="1">
      <c r="A167" s="272"/>
      <c r="B167" s="7"/>
      <c r="C167" s="7"/>
      <c r="D167" s="7"/>
      <c r="E167" s="398"/>
      <c r="F167" s="153"/>
      <c r="G167" s="271"/>
      <c r="H167" s="270"/>
      <c r="I167" s="7"/>
      <c r="J167" s="10"/>
      <c r="K167" s="12"/>
    </row>
    <row r="168" ht="15.0" customHeight="1">
      <c r="A168" s="272"/>
      <c r="B168" s="7"/>
      <c r="C168" s="7"/>
      <c r="D168" s="7"/>
      <c r="E168" s="398"/>
      <c r="F168" s="153"/>
      <c r="G168" s="271"/>
      <c r="H168" s="270"/>
      <c r="I168" s="7"/>
      <c r="J168" s="10"/>
      <c r="K168" s="12"/>
    </row>
    <row r="169" ht="15.0" customHeight="1">
      <c r="A169" s="272"/>
      <c r="B169" s="7"/>
      <c r="C169" s="7"/>
      <c r="D169" s="7"/>
      <c r="E169" s="398"/>
      <c r="F169" s="153"/>
      <c r="G169" s="271"/>
      <c r="H169" s="270"/>
      <c r="I169" s="7"/>
      <c r="J169" s="10"/>
      <c r="K169" s="12"/>
    </row>
    <row r="170" ht="15.0" customHeight="1">
      <c r="A170" s="272"/>
      <c r="B170" s="7"/>
      <c r="C170" s="7"/>
      <c r="D170" s="7"/>
      <c r="E170" s="398"/>
      <c r="F170" s="153"/>
      <c r="G170" s="271"/>
      <c r="H170" s="270"/>
      <c r="I170" s="7"/>
      <c r="J170" s="10"/>
      <c r="K170" s="12"/>
    </row>
    <row r="171" ht="15.0" customHeight="1">
      <c r="A171" s="272"/>
      <c r="B171" s="7"/>
      <c r="C171" s="7"/>
      <c r="D171" s="7"/>
      <c r="E171" s="398"/>
      <c r="F171" s="153"/>
      <c r="G171" s="271"/>
      <c r="H171" s="270"/>
      <c r="I171" s="7"/>
      <c r="J171" s="10"/>
      <c r="K171" s="12"/>
    </row>
    <row r="172" ht="15.0" customHeight="1">
      <c r="A172" s="272"/>
      <c r="B172" s="7"/>
      <c r="C172" s="7"/>
      <c r="D172" s="7"/>
      <c r="E172" s="398"/>
      <c r="F172" s="153"/>
      <c r="G172" s="271"/>
      <c r="H172" s="270"/>
      <c r="I172" s="7"/>
      <c r="J172" s="10"/>
      <c r="K172" s="12"/>
    </row>
    <row r="173" ht="15.0" customHeight="1">
      <c r="A173" s="272"/>
      <c r="B173" s="7"/>
      <c r="C173" s="7"/>
      <c r="D173" s="7"/>
      <c r="E173" s="398"/>
      <c r="F173" s="153"/>
      <c r="G173" s="271"/>
      <c r="H173" s="270"/>
      <c r="I173" s="7"/>
      <c r="J173" s="10"/>
      <c r="K173" s="12"/>
    </row>
    <row r="174" ht="15.0" customHeight="1">
      <c r="A174" s="272"/>
      <c r="B174" s="7"/>
      <c r="C174" s="7"/>
      <c r="D174" s="7"/>
      <c r="E174" s="398"/>
      <c r="F174" s="153"/>
      <c r="G174" s="271"/>
      <c r="H174" s="270"/>
      <c r="I174" s="7"/>
      <c r="J174" s="10"/>
      <c r="K174" s="12"/>
    </row>
    <row r="175" ht="15.0" customHeight="1">
      <c r="A175" s="272"/>
      <c r="B175" s="7"/>
      <c r="C175" s="7"/>
      <c r="D175" s="7"/>
      <c r="E175" s="398"/>
      <c r="F175" s="153"/>
      <c r="G175" s="271"/>
      <c r="H175" s="270"/>
      <c r="I175" s="7"/>
      <c r="J175" s="10"/>
      <c r="K175" s="12"/>
    </row>
    <row r="176" ht="15.0" customHeight="1">
      <c r="A176" s="272"/>
      <c r="B176" s="7"/>
      <c r="C176" s="7"/>
      <c r="D176" s="7"/>
      <c r="E176" s="398"/>
      <c r="F176" s="153"/>
      <c r="G176" s="271"/>
      <c r="H176" s="270"/>
      <c r="I176" s="7"/>
      <c r="J176" s="10"/>
      <c r="K176" s="12"/>
    </row>
    <row r="177" ht="15.0" customHeight="1">
      <c r="A177" s="272"/>
      <c r="B177" s="7"/>
      <c r="C177" s="7"/>
      <c r="D177" s="7"/>
      <c r="E177" s="398"/>
      <c r="F177" s="153"/>
      <c r="G177" s="271"/>
      <c r="H177" s="270"/>
      <c r="I177" s="7"/>
      <c r="J177" s="10"/>
      <c r="K177" s="12"/>
    </row>
    <row r="178" ht="15.0" customHeight="1">
      <c r="A178" s="272"/>
      <c r="B178" s="7"/>
      <c r="C178" s="7"/>
      <c r="D178" s="7"/>
      <c r="E178" s="398"/>
      <c r="F178" s="153"/>
      <c r="G178" s="271"/>
      <c r="H178" s="270"/>
      <c r="I178" s="7"/>
      <c r="J178" s="10"/>
      <c r="K178" s="12"/>
    </row>
    <row r="179" ht="15.0" customHeight="1">
      <c r="A179" s="272"/>
      <c r="B179" s="7"/>
      <c r="C179" s="7"/>
      <c r="D179" s="7"/>
      <c r="E179" s="398"/>
      <c r="F179" s="153"/>
      <c r="G179" s="271"/>
      <c r="H179" s="270"/>
      <c r="I179" s="7"/>
      <c r="J179" s="10"/>
      <c r="K179" s="12"/>
    </row>
    <row r="180" ht="15.0" customHeight="1">
      <c r="A180" s="272"/>
      <c r="B180" s="7"/>
      <c r="C180" s="7"/>
      <c r="D180" s="7"/>
      <c r="E180" s="398"/>
      <c r="F180" s="153"/>
      <c r="G180" s="271"/>
      <c r="H180" s="270"/>
      <c r="I180" s="7"/>
      <c r="J180" s="10"/>
      <c r="K180" s="12"/>
    </row>
    <row r="181" ht="15.0" customHeight="1">
      <c r="A181" s="272"/>
      <c r="B181" s="7"/>
      <c r="C181" s="7"/>
      <c r="D181" s="7"/>
      <c r="E181" s="398"/>
      <c r="F181" s="153"/>
      <c r="G181" s="271"/>
      <c r="H181" s="270"/>
      <c r="I181" s="7"/>
      <c r="J181" s="10"/>
      <c r="K181" s="12"/>
    </row>
    <row r="182" ht="15.0" customHeight="1">
      <c r="A182" s="272"/>
      <c r="B182" s="7"/>
      <c r="C182" s="7"/>
      <c r="D182" s="7"/>
      <c r="E182" s="398"/>
      <c r="F182" s="153"/>
      <c r="G182" s="271"/>
      <c r="H182" s="270"/>
      <c r="I182" s="7"/>
      <c r="J182" s="10"/>
      <c r="K182" s="12"/>
    </row>
    <row r="183" ht="15.0" customHeight="1">
      <c r="A183" s="272"/>
      <c r="B183" s="7"/>
      <c r="C183" s="7"/>
      <c r="D183" s="7"/>
      <c r="E183" s="398"/>
      <c r="F183" s="153"/>
      <c r="G183" s="271"/>
      <c r="H183" s="270"/>
      <c r="I183" s="7"/>
      <c r="J183" s="10"/>
      <c r="K183" s="12"/>
    </row>
    <row r="184" ht="15.0" customHeight="1">
      <c r="A184" s="272"/>
      <c r="B184" s="7"/>
      <c r="C184" s="7"/>
      <c r="D184" s="7"/>
      <c r="E184" s="398"/>
      <c r="F184" s="153"/>
      <c r="G184" s="271"/>
      <c r="H184" s="270"/>
      <c r="I184" s="7"/>
      <c r="J184" s="10"/>
      <c r="K184" s="12"/>
    </row>
    <row r="185" ht="15.0" customHeight="1">
      <c r="A185" s="272"/>
      <c r="B185" s="7"/>
      <c r="C185" s="7"/>
      <c r="D185" s="7"/>
      <c r="E185" s="398"/>
      <c r="F185" s="153"/>
      <c r="G185" s="271"/>
      <c r="H185" s="270"/>
      <c r="I185" s="7"/>
      <c r="J185" s="10"/>
      <c r="K185" s="12"/>
    </row>
    <row r="186" ht="15.0" customHeight="1">
      <c r="A186" s="272"/>
      <c r="B186" s="7"/>
      <c r="C186" s="7"/>
      <c r="D186" s="7"/>
      <c r="E186" s="398"/>
      <c r="F186" s="153"/>
      <c r="G186" s="271"/>
      <c r="H186" s="270"/>
      <c r="I186" s="7"/>
      <c r="J186" s="10"/>
      <c r="K186" s="12"/>
    </row>
    <row r="187" ht="15.0" customHeight="1">
      <c r="A187" s="272"/>
      <c r="B187" s="7"/>
      <c r="C187" s="7"/>
      <c r="D187" s="7"/>
      <c r="E187" s="398"/>
      <c r="F187" s="153"/>
      <c r="G187" s="271"/>
      <c r="H187" s="270"/>
      <c r="I187" s="7"/>
      <c r="J187" s="10"/>
      <c r="K187" s="12"/>
    </row>
    <row r="188" ht="15.0" customHeight="1">
      <c r="A188" s="272"/>
      <c r="B188" s="7"/>
      <c r="C188" s="7"/>
      <c r="D188" s="7"/>
      <c r="E188" s="398"/>
      <c r="F188" s="153"/>
      <c r="G188" s="271"/>
      <c r="H188" s="270"/>
      <c r="I188" s="7"/>
      <c r="J188" s="10"/>
      <c r="K188" s="12"/>
    </row>
    <row r="189" ht="15.0" customHeight="1">
      <c r="A189" s="272"/>
      <c r="B189" s="7"/>
      <c r="C189" s="7"/>
      <c r="D189" s="7"/>
      <c r="E189" s="398"/>
      <c r="F189" s="153"/>
      <c r="G189" s="271"/>
      <c r="H189" s="270"/>
      <c r="I189" s="7"/>
      <c r="J189" s="10"/>
      <c r="K189" s="12"/>
    </row>
    <row r="190" ht="15.0" customHeight="1">
      <c r="A190" s="272"/>
      <c r="B190" s="7"/>
      <c r="C190" s="7"/>
      <c r="D190" s="7"/>
      <c r="E190" s="398"/>
      <c r="F190" s="153"/>
      <c r="G190" s="271"/>
      <c r="H190" s="270"/>
      <c r="I190" s="7"/>
      <c r="J190" s="10"/>
      <c r="K190" s="12"/>
    </row>
    <row r="191" ht="15.0" customHeight="1">
      <c r="A191" s="272"/>
      <c r="B191" s="7"/>
      <c r="C191" s="7"/>
      <c r="D191" s="7"/>
      <c r="E191" s="398"/>
      <c r="F191" s="153"/>
      <c r="G191" s="271"/>
      <c r="H191" s="270"/>
      <c r="I191" s="7"/>
      <c r="J191" s="10"/>
      <c r="K191" s="12"/>
    </row>
    <row r="192" ht="15.0" customHeight="1">
      <c r="A192" s="272"/>
      <c r="B192" s="7"/>
      <c r="C192" s="7"/>
      <c r="D192" s="7"/>
      <c r="E192" s="398"/>
      <c r="F192" s="153"/>
      <c r="G192" s="271"/>
      <c r="H192" s="270"/>
      <c r="I192" s="7"/>
      <c r="J192" s="10"/>
      <c r="K192" s="12"/>
    </row>
    <row r="193" ht="15.0" customHeight="1">
      <c r="A193" s="272"/>
      <c r="B193" s="7"/>
      <c r="C193" s="7"/>
      <c r="D193" s="7"/>
      <c r="E193" s="398"/>
      <c r="F193" s="153"/>
      <c r="G193" s="271"/>
      <c r="H193" s="270"/>
      <c r="I193" s="7"/>
      <c r="J193" s="10"/>
      <c r="K193" s="12"/>
    </row>
    <row r="194" ht="15.0" customHeight="1">
      <c r="A194" s="272"/>
      <c r="B194" s="7"/>
      <c r="C194" s="7"/>
      <c r="D194" s="7"/>
      <c r="E194" s="398"/>
      <c r="F194" s="153"/>
      <c r="G194" s="271"/>
      <c r="H194" s="270"/>
      <c r="I194" s="7"/>
      <c r="J194" s="10"/>
      <c r="K194" s="12"/>
    </row>
    <row r="195" ht="15.0" customHeight="1">
      <c r="A195" s="272"/>
      <c r="B195" s="7"/>
      <c r="C195" s="7"/>
      <c r="D195" s="7"/>
      <c r="E195" s="398"/>
      <c r="F195" s="153"/>
      <c r="G195" s="271"/>
      <c r="H195" s="270"/>
      <c r="I195" s="7"/>
      <c r="J195" s="10"/>
      <c r="K195" s="12"/>
    </row>
    <row r="196" ht="15.0" customHeight="1">
      <c r="A196" s="272"/>
      <c r="B196" s="7"/>
      <c r="C196" s="7"/>
      <c r="D196" s="7"/>
      <c r="E196" s="398"/>
      <c r="F196" s="153"/>
      <c r="G196" s="271"/>
      <c r="H196" s="270"/>
      <c r="I196" s="7"/>
      <c r="J196" s="10"/>
      <c r="K196" s="12"/>
    </row>
    <row r="197" ht="15.0" customHeight="1">
      <c r="A197" s="272"/>
      <c r="B197" s="7"/>
      <c r="C197" s="7"/>
      <c r="D197" s="7"/>
      <c r="E197" s="398"/>
      <c r="F197" s="153"/>
      <c r="G197" s="271"/>
      <c r="H197" s="270"/>
      <c r="I197" s="7"/>
      <c r="J197" s="10"/>
      <c r="K197" s="12"/>
    </row>
    <row r="198" ht="15.0" customHeight="1">
      <c r="A198" s="272"/>
      <c r="B198" s="7"/>
      <c r="C198" s="7"/>
      <c r="D198" s="7"/>
      <c r="E198" s="398"/>
      <c r="F198" s="153"/>
      <c r="G198" s="271"/>
      <c r="H198" s="270"/>
      <c r="I198" s="7"/>
      <c r="J198" s="10"/>
      <c r="K198" s="12"/>
    </row>
    <row r="199" ht="15.0" customHeight="1">
      <c r="A199" s="272"/>
      <c r="B199" s="7"/>
      <c r="C199" s="7"/>
      <c r="D199" s="7"/>
      <c r="E199" s="398"/>
      <c r="F199" s="153"/>
      <c r="G199" s="271"/>
      <c r="H199" s="270"/>
      <c r="I199" s="7"/>
      <c r="J199" s="10"/>
      <c r="K199" s="12"/>
    </row>
    <row r="200" ht="15.0" customHeight="1">
      <c r="A200" s="272"/>
      <c r="B200" s="7"/>
      <c r="C200" s="7"/>
      <c r="D200" s="7"/>
      <c r="E200" s="398"/>
      <c r="F200" s="153"/>
      <c r="G200" s="271"/>
      <c r="H200" s="270"/>
      <c r="I200" s="7"/>
      <c r="J200" s="10"/>
      <c r="K200" s="12"/>
    </row>
    <row r="201" ht="15.0" customHeight="1">
      <c r="A201" s="272"/>
      <c r="B201" s="7"/>
      <c r="C201" s="7"/>
      <c r="D201" s="7"/>
      <c r="E201" s="398"/>
      <c r="F201" s="153"/>
      <c r="G201" s="271"/>
      <c r="H201" s="270"/>
      <c r="I201" s="7"/>
      <c r="J201" s="10"/>
      <c r="K201" s="12"/>
    </row>
    <row r="202" ht="15.0" customHeight="1">
      <c r="A202" s="272"/>
      <c r="B202" s="7"/>
      <c r="C202" s="7"/>
      <c r="D202" s="7"/>
      <c r="E202" s="398"/>
      <c r="F202" s="153"/>
      <c r="G202" s="271"/>
      <c r="H202" s="270"/>
      <c r="I202" s="7"/>
      <c r="J202" s="10"/>
      <c r="K202" s="12"/>
    </row>
    <row r="203" ht="15.0" customHeight="1">
      <c r="A203" s="272"/>
      <c r="B203" s="7"/>
      <c r="C203" s="7"/>
      <c r="D203" s="7"/>
      <c r="E203" s="398"/>
      <c r="F203" s="153"/>
      <c r="G203" s="271"/>
      <c r="H203" s="270"/>
      <c r="I203" s="7"/>
      <c r="J203" s="10"/>
      <c r="K203" s="12"/>
    </row>
    <row r="204" ht="15.0" customHeight="1">
      <c r="A204" s="272"/>
      <c r="B204" s="7"/>
      <c r="C204" s="7"/>
      <c r="D204" s="7"/>
      <c r="E204" s="398"/>
      <c r="F204" s="153"/>
      <c r="G204" s="271"/>
      <c r="H204" s="270"/>
      <c r="I204" s="7"/>
      <c r="J204" s="10"/>
      <c r="K204" s="12"/>
    </row>
    <row r="205" ht="15.0" customHeight="1">
      <c r="A205" s="272"/>
      <c r="B205" s="7"/>
      <c r="C205" s="7"/>
      <c r="D205" s="7"/>
      <c r="E205" s="398"/>
      <c r="F205" s="153"/>
      <c r="G205" s="271"/>
      <c r="H205" s="270"/>
      <c r="I205" s="7"/>
      <c r="J205" s="10"/>
      <c r="K205" s="12"/>
    </row>
    <row r="206" ht="15.0" customHeight="1">
      <c r="A206" s="272"/>
      <c r="B206" s="7"/>
      <c r="C206" s="7"/>
      <c r="D206" s="7"/>
      <c r="E206" s="398"/>
      <c r="F206" s="153"/>
      <c r="G206" s="271"/>
      <c r="H206" s="270"/>
      <c r="I206" s="7"/>
      <c r="J206" s="10"/>
      <c r="K206" s="12"/>
    </row>
    <row r="207" ht="15.0" customHeight="1">
      <c r="A207" s="272"/>
      <c r="B207" s="7"/>
      <c r="C207" s="7"/>
      <c r="D207" s="7"/>
      <c r="E207" s="398"/>
      <c r="F207" s="153"/>
      <c r="G207" s="271"/>
      <c r="H207" s="270"/>
      <c r="I207" s="7"/>
      <c r="J207" s="10"/>
      <c r="K207" s="12"/>
    </row>
    <row r="208" ht="15.0" customHeight="1">
      <c r="A208" s="272"/>
      <c r="B208" s="7"/>
      <c r="C208" s="7"/>
      <c r="D208" s="7"/>
      <c r="E208" s="398"/>
      <c r="F208" s="153"/>
      <c r="G208" s="271"/>
      <c r="H208" s="270"/>
      <c r="I208" s="7"/>
      <c r="J208" s="10"/>
      <c r="K208" s="12"/>
    </row>
    <row r="209" ht="15.0" customHeight="1">
      <c r="A209" s="272"/>
      <c r="B209" s="7"/>
      <c r="C209" s="7"/>
      <c r="D209" s="7"/>
      <c r="E209" s="398"/>
      <c r="F209" s="153"/>
      <c r="G209" s="271"/>
      <c r="H209" s="270"/>
      <c r="I209" s="7"/>
      <c r="J209" s="10"/>
      <c r="K209" s="12"/>
    </row>
    <row r="210" ht="15.0" customHeight="1">
      <c r="A210" s="272"/>
      <c r="B210" s="7"/>
      <c r="C210" s="7"/>
      <c r="D210" s="7"/>
      <c r="E210" s="398"/>
      <c r="F210" s="153"/>
      <c r="G210" s="271"/>
      <c r="H210" s="270"/>
      <c r="I210" s="7"/>
      <c r="J210" s="10"/>
      <c r="K210" s="12"/>
    </row>
    <row r="211" ht="15.0" customHeight="1">
      <c r="A211" s="272"/>
      <c r="B211" s="7"/>
      <c r="C211" s="7"/>
      <c r="D211" s="7"/>
      <c r="E211" s="398"/>
      <c r="F211" s="153"/>
      <c r="G211" s="271"/>
      <c r="H211" s="270"/>
      <c r="I211" s="7"/>
      <c r="J211" s="10"/>
      <c r="K211" s="12"/>
    </row>
    <row r="212" ht="15.0" customHeight="1">
      <c r="A212" s="272"/>
      <c r="B212" s="7"/>
      <c r="C212" s="7"/>
      <c r="D212" s="7"/>
      <c r="E212" s="398"/>
      <c r="F212" s="153"/>
      <c r="G212" s="271"/>
      <c r="H212" s="270"/>
      <c r="I212" s="7"/>
      <c r="J212" s="10"/>
      <c r="K212" s="12"/>
    </row>
    <row r="213" ht="15.0" customHeight="1">
      <c r="A213" s="272"/>
      <c r="B213" s="7"/>
      <c r="C213" s="7"/>
      <c r="D213" s="7"/>
      <c r="E213" s="398"/>
      <c r="F213" s="153"/>
      <c r="G213" s="271"/>
      <c r="H213" s="270"/>
      <c r="I213" s="7"/>
      <c r="J213" s="10"/>
      <c r="K213" s="12"/>
    </row>
    <row r="214" ht="15.0" customHeight="1">
      <c r="A214" s="272"/>
      <c r="B214" s="7"/>
      <c r="C214" s="7"/>
      <c r="D214" s="7"/>
      <c r="E214" s="398"/>
      <c r="F214" s="153"/>
      <c r="G214" s="271"/>
      <c r="H214" s="270"/>
      <c r="I214" s="7"/>
      <c r="J214" s="10"/>
      <c r="K214" s="12"/>
    </row>
    <row r="215" ht="15.0" customHeight="1">
      <c r="A215" s="272"/>
      <c r="B215" s="7"/>
      <c r="C215" s="7"/>
      <c r="D215" s="7"/>
      <c r="E215" s="398"/>
      <c r="F215" s="153"/>
      <c r="G215" s="271"/>
      <c r="H215" s="270"/>
      <c r="I215" s="7"/>
      <c r="J215" s="10"/>
      <c r="K215" s="12"/>
    </row>
    <row r="216" ht="15.0" customHeight="1">
      <c r="A216" s="272"/>
      <c r="B216" s="7"/>
      <c r="C216" s="7"/>
      <c r="D216" s="7"/>
      <c r="E216" s="398"/>
      <c r="F216" s="153"/>
      <c r="G216" s="271"/>
      <c r="H216" s="270"/>
      <c r="I216" s="7"/>
      <c r="J216" s="10"/>
      <c r="K216" s="12"/>
    </row>
    <row r="217" ht="15.0" customHeight="1">
      <c r="A217" s="272"/>
      <c r="B217" s="7"/>
      <c r="C217" s="7"/>
      <c r="D217" s="7"/>
      <c r="E217" s="398"/>
      <c r="F217" s="153"/>
      <c r="G217" s="271"/>
      <c r="H217" s="270"/>
      <c r="I217" s="7"/>
      <c r="J217" s="10"/>
      <c r="K217" s="12"/>
    </row>
    <row r="218" ht="15.0" customHeight="1">
      <c r="A218" s="272"/>
      <c r="B218" s="7"/>
      <c r="C218" s="7"/>
      <c r="D218" s="7"/>
      <c r="E218" s="398"/>
      <c r="F218" s="153"/>
      <c r="G218" s="271"/>
      <c r="H218" s="270"/>
      <c r="I218" s="7"/>
      <c r="J218" s="10"/>
      <c r="K218" s="12"/>
    </row>
    <row r="219" ht="15.0" customHeight="1">
      <c r="A219" s="272"/>
      <c r="B219" s="7"/>
      <c r="C219" s="7"/>
      <c r="D219" s="7"/>
      <c r="E219" s="398"/>
      <c r="F219" s="153"/>
      <c r="G219" s="271"/>
      <c r="H219" s="270"/>
      <c r="I219" s="7"/>
      <c r="J219" s="10"/>
      <c r="K219" s="12"/>
    </row>
    <row r="220" ht="15.0" customHeight="1">
      <c r="A220" s="272"/>
      <c r="B220" s="7"/>
      <c r="C220" s="7"/>
      <c r="D220" s="7"/>
      <c r="E220" s="398"/>
      <c r="F220" s="153"/>
      <c r="G220" s="271"/>
      <c r="H220" s="270"/>
      <c r="I220" s="7"/>
      <c r="J220" s="10"/>
      <c r="K220" s="12"/>
    </row>
    <row r="221" ht="15.0" customHeight="1">
      <c r="A221" s="272"/>
      <c r="B221" s="7"/>
      <c r="C221" s="7"/>
      <c r="D221" s="7"/>
      <c r="E221" s="398"/>
      <c r="F221" s="153"/>
      <c r="G221" s="271"/>
      <c r="H221" s="270"/>
      <c r="I221" s="7"/>
      <c r="J221" s="10"/>
      <c r="K221" s="12"/>
    </row>
    <row r="222" ht="15.0" customHeight="1">
      <c r="A222" s="272"/>
      <c r="B222" s="7"/>
      <c r="C222" s="7"/>
      <c r="D222" s="7"/>
      <c r="E222" s="398"/>
      <c r="F222" s="153"/>
      <c r="G222" s="271"/>
      <c r="H222" s="270"/>
      <c r="I222" s="7"/>
      <c r="J222" s="10"/>
      <c r="K222" s="12"/>
    </row>
    <row r="223" ht="15.0" customHeight="1">
      <c r="A223" s="272"/>
      <c r="B223" s="7"/>
      <c r="C223" s="7"/>
      <c r="D223" s="7"/>
      <c r="E223" s="398"/>
      <c r="F223" s="153"/>
      <c r="G223" s="271"/>
      <c r="H223" s="270"/>
      <c r="I223" s="7"/>
      <c r="J223" s="10"/>
      <c r="K223" s="12"/>
    </row>
    <row r="224" ht="15.0" customHeight="1">
      <c r="A224" s="272"/>
      <c r="B224" s="7"/>
      <c r="C224" s="7"/>
      <c r="D224" s="7"/>
      <c r="E224" s="398"/>
      <c r="F224" s="153"/>
      <c r="G224" s="271"/>
      <c r="H224" s="270"/>
      <c r="I224" s="7"/>
      <c r="J224" s="10"/>
      <c r="K224" s="12"/>
    </row>
    <row r="225" ht="15.0" customHeight="1">
      <c r="A225" s="272"/>
      <c r="B225" s="7"/>
      <c r="C225" s="7"/>
      <c r="D225" s="7"/>
      <c r="E225" s="398"/>
      <c r="F225" s="153"/>
      <c r="G225" s="271"/>
      <c r="H225" s="270"/>
      <c r="I225" s="7"/>
      <c r="J225" s="10"/>
      <c r="K225" s="12"/>
    </row>
    <row r="226" ht="15.0" customHeight="1">
      <c r="A226" s="272"/>
      <c r="B226" s="7"/>
      <c r="C226" s="7"/>
      <c r="D226" s="7"/>
      <c r="E226" s="398"/>
      <c r="F226" s="153"/>
      <c r="G226" s="271"/>
      <c r="H226" s="270"/>
      <c r="I226" s="7"/>
      <c r="J226" s="10"/>
      <c r="K226" s="12"/>
    </row>
    <row r="227" ht="15.0" customHeight="1">
      <c r="A227" s="272"/>
      <c r="B227" s="7"/>
      <c r="C227" s="7"/>
      <c r="D227" s="7"/>
      <c r="E227" s="398"/>
      <c r="F227" s="153"/>
      <c r="G227" s="271"/>
      <c r="H227" s="270"/>
      <c r="I227" s="7"/>
      <c r="J227" s="10"/>
      <c r="K227" s="12"/>
    </row>
    <row r="228" ht="15.0" customHeight="1">
      <c r="A228" s="272"/>
      <c r="B228" s="7"/>
      <c r="C228" s="7"/>
      <c r="D228" s="7"/>
      <c r="E228" s="398"/>
      <c r="F228" s="153"/>
      <c r="G228" s="271"/>
      <c r="H228" s="270"/>
      <c r="I228" s="7"/>
      <c r="J228" s="10"/>
      <c r="K228" s="12"/>
    </row>
    <row r="229" ht="15.0" customHeight="1">
      <c r="A229" s="272"/>
      <c r="B229" s="7"/>
      <c r="C229" s="7"/>
      <c r="D229" s="7"/>
      <c r="E229" s="398"/>
      <c r="F229" s="153"/>
      <c r="G229" s="271"/>
      <c r="H229" s="270"/>
      <c r="I229" s="7"/>
      <c r="J229" s="10"/>
      <c r="K229" s="12"/>
    </row>
    <row r="230" ht="15.0" customHeight="1">
      <c r="A230" s="272"/>
      <c r="B230" s="7"/>
      <c r="C230" s="7"/>
      <c r="D230" s="7"/>
      <c r="E230" s="398"/>
      <c r="F230" s="153"/>
      <c r="G230" s="271"/>
      <c r="H230" s="270"/>
      <c r="I230" s="7"/>
      <c r="J230" s="10"/>
      <c r="K230" s="12"/>
    </row>
    <row r="231" ht="15.0" customHeight="1">
      <c r="A231" s="272"/>
      <c r="B231" s="7"/>
      <c r="C231" s="7"/>
      <c r="D231" s="7"/>
      <c r="E231" s="398"/>
      <c r="F231" s="153"/>
      <c r="G231" s="271"/>
      <c r="H231" s="270"/>
      <c r="I231" s="7"/>
      <c r="J231" s="10"/>
      <c r="K231" s="12"/>
    </row>
    <row r="232" ht="15.0" customHeight="1">
      <c r="A232" s="272"/>
      <c r="B232" s="7"/>
      <c r="C232" s="7"/>
      <c r="D232" s="7"/>
      <c r="E232" s="398"/>
      <c r="F232" s="153"/>
      <c r="G232" s="271"/>
      <c r="H232" s="270"/>
      <c r="I232" s="7"/>
      <c r="J232" s="10"/>
      <c r="K232" s="12"/>
    </row>
    <row r="233" ht="15.0" customHeight="1">
      <c r="A233" s="272"/>
      <c r="B233" s="7"/>
      <c r="C233" s="7"/>
      <c r="D233" s="7"/>
      <c r="E233" s="398"/>
      <c r="F233" s="153"/>
      <c r="G233" s="271"/>
      <c r="H233" s="270"/>
      <c r="I233" s="7"/>
      <c r="J233" s="10"/>
      <c r="K233" s="12"/>
    </row>
    <row r="234" ht="15.0" customHeight="1">
      <c r="A234" s="272"/>
      <c r="B234" s="7"/>
      <c r="C234" s="7"/>
      <c r="D234" s="7"/>
      <c r="E234" s="398"/>
      <c r="F234" s="153"/>
      <c r="G234" s="271"/>
      <c r="H234" s="270"/>
      <c r="I234" s="7"/>
      <c r="J234" s="10"/>
      <c r="K234" s="12"/>
    </row>
    <row r="235" ht="15.0" customHeight="1">
      <c r="A235" s="272"/>
      <c r="B235" s="7"/>
      <c r="C235" s="7"/>
      <c r="D235" s="7"/>
      <c r="E235" s="398"/>
      <c r="F235" s="153"/>
      <c r="G235" s="271"/>
      <c r="H235" s="270"/>
      <c r="I235" s="7"/>
      <c r="J235" s="10"/>
      <c r="K235" s="12"/>
    </row>
    <row r="236" ht="15.0" customHeight="1">
      <c r="A236" s="272"/>
      <c r="B236" s="7"/>
      <c r="C236" s="7"/>
      <c r="D236" s="7"/>
      <c r="E236" s="398"/>
      <c r="F236" s="153"/>
      <c r="G236" s="271"/>
      <c r="H236" s="270"/>
      <c r="I236" s="7"/>
      <c r="J236" s="10"/>
      <c r="K236" s="12"/>
    </row>
    <row r="237" ht="15.0" customHeight="1">
      <c r="A237" s="272"/>
      <c r="B237" s="7"/>
      <c r="C237" s="7"/>
      <c r="D237" s="7"/>
      <c r="E237" s="398"/>
      <c r="F237" s="153"/>
      <c r="G237" s="271"/>
      <c r="H237" s="270"/>
      <c r="I237" s="7"/>
      <c r="J237" s="10"/>
      <c r="K237" s="12"/>
    </row>
    <row r="238" ht="15.0" customHeight="1">
      <c r="A238" s="272"/>
      <c r="B238" s="7"/>
      <c r="C238" s="7"/>
      <c r="D238" s="7"/>
      <c r="E238" s="398"/>
      <c r="F238" s="153"/>
      <c r="G238" s="271"/>
      <c r="H238" s="270"/>
      <c r="I238" s="7"/>
      <c r="J238" s="10"/>
      <c r="K238" s="12"/>
    </row>
    <row r="239" ht="15.0" customHeight="1">
      <c r="A239" s="272"/>
      <c r="B239" s="7"/>
      <c r="C239" s="7"/>
      <c r="D239" s="7"/>
      <c r="E239" s="398"/>
      <c r="F239" s="153"/>
      <c r="G239" s="271"/>
      <c r="H239" s="270"/>
      <c r="I239" s="7"/>
      <c r="J239" s="10"/>
      <c r="K239" s="12"/>
    </row>
    <row r="240" ht="15.0" customHeight="1">
      <c r="A240" s="272"/>
      <c r="B240" s="7"/>
      <c r="C240" s="7"/>
      <c r="D240" s="7"/>
      <c r="E240" s="398"/>
      <c r="F240" s="153"/>
      <c r="G240" s="271"/>
      <c r="H240" s="270"/>
      <c r="I240" s="7"/>
      <c r="J240" s="10"/>
      <c r="K240" s="12"/>
    </row>
    <row r="241" ht="15.0" customHeight="1">
      <c r="A241" s="272"/>
      <c r="B241" s="7"/>
      <c r="C241" s="7"/>
      <c r="D241" s="7"/>
      <c r="E241" s="398"/>
      <c r="F241" s="153"/>
      <c r="G241" s="271"/>
      <c r="H241" s="270"/>
      <c r="I241" s="7"/>
      <c r="J241" s="10"/>
      <c r="K241" s="12"/>
    </row>
    <row r="242" ht="15.0" customHeight="1">
      <c r="A242" s="272"/>
      <c r="B242" s="7"/>
      <c r="C242" s="7"/>
      <c r="D242" s="7"/>
      <c r="E242" s="398"/>
      <c r="F242" s="153"/>
      <c r="G242" s="271"/>
      <c r="H242" s="270"/>
      <c r="I242" s="7"/>
      <c r="J242" s="10"/>
      <c r="K242" s="12"/>
    </row>
    <row r="243" ht="15.0" customHeight="1">
      <c r="A243" s="272"/>
      <c r="B243" s="7"/>
      <c r="C243" s="7"/>
      <c r="D243" s="7"/>
      <c r="E243" s="398"/>
      <c r="F243" s="153"/>
      <c r="G243" s="271"/>
      <c r="H243" s="270"/>
      <c r="I243" s="7"/>
      <c r="J243" s="10"/>
      <c r="K243" s="12"/>
    </row>
    <row r="244" ht="15.0" customHeight="1">
      <c r="A244" s="272"/>
      <c r="B244" s="7"/>
      <c r="C244" s="7"/>
      <c r="D244" s="7"/>
      <c r="E244" s="398"/>
      <c r="F244" s="153"/>
      <c r="G244" s="271"/>
      <c r="H244" s="270"/>
      <c r="I244" s="7"/>
      <c r="J244" s="10"/>
      <c r="K244" s="12"/>
    </row>
    <row r="245" ht="15.0" customHeight="1">
      <c r="A245" s="272"/>
      <c r="B245" s="7"/>
      <c r="C245" s="7"/>
      <c r="D245" s="7"/>
      <c r="E245" s="398"/>
      <c r="F245" s="153"/>
      <c r="G245" s="271"/>
      <c r="H245" s="270"/>
      <c r="I245" s="7"/>
      <c r="J245" s="10"/>
      <c r="K245" s="12"/>
    </row>
    <row r="246" ht="15.0" customHeight="1">
      <c r="A246" s="272"/>
      <c r="B246" s="7"/>
      <c r="C246" s="7"/>
      <c r="D246" s="7"/>
      <c r="E246" s="398"/>
      <c r="F246" s="153"/>
      <c r="G246" s="271"/>
      <c r="H246" s="270"/>
      <c r="I246" s="7"/>
      <c r="J246" s="10"/>
      <c r="K246" s="12"/>
    </row>
    <row r="247" ht="15.75" customHeight="1">
      <c r="E247" s="398"/>
      <c r="F247" s="153"/>
      <c r="G247" s="271"/>
    </row>
    <row r="248" ht="15.75" customHeight="1">
      <c r="E248" s="398"/>
      <c r="F248" s="153"/>
      <c r="G248" s="271"/>
    </row>
    <row r="249" ht="15.75" customHeight="1">
      <c r="E249" s="398"/>
      <c r="F249" s="153"/>
      <c r="G249" s="271"/>
    </row>
    <row r="250" ht="15.75" customHeight="1">
      <c r="E250" s="398"/>
      <c r="F250" s="153"/>
      <c r="G250" s="271"/>
    </row>
    <row r="251" ht="15.75" customHeight="1">
      <c r="E251" s="398"/>
      <c r="F251" s="153"/>
      <c r="G251" s="271"/>
    </row>
    <row r="252" ht="15.75" customHeight="1">
      <c r="E252" s="398"/>
      <c r="F252" s="153"/>
      <c r="G252" s="271"/>
    </row>
    <row r="253" ht="15.75" customHeight="1">
      <c r="E253" s="398"/>
      <c r="F253" s="153"/>
      <c r="G253" s="271"/>
    </row>
    <row r="254" ht="15.75" customHeight="1">
      <c r="E254" s="398"/>
      <c r="F254" s="153"/>
      <c r="G254" s="271"/>
    </row>
    <row r="255" ht="15.75" customHeight="1">
      <c r="E255" s="398"/>
      <c r="F255" s="153"/>
      <c r="G255" s="271"/>
    </row>
    <row r="256" ht="15.75" customHeight="1">
      <c r="E256" s="398"/>
      <c r="F256" s="153"/>
      <c r="G256" s="271"/>
    </row>
    <row r="257" ht="15.75" customHeight="1">
      <c r="E257" s="398"/>
      <c r="F257" s="153"/>
      <c r="G257" s="271"/>
    </row>
    <row r="258" ht="15.75" customHeight="1">
      <c r="E258" s="398"/>
      <c r="F258" s="153"/>
      <c r="G258" s="271"/>
    </row>
    <row r="259" ht="15.75" customHeight="1">
      <c r="E259" s="398"/>
      <c r="F259" s="153"/>
      <c r="G259" s="271"/>
    </row>
    <row r="260" ht="15.75" customHeight="1">
      <c r="E260" s="398"/>
      <c r="F260" s="153"/>
      <c r="G260" s="271"/>
    </row>
    <row r="261" ht="15.75" customHeight="1">
      <c r="E261" s="398"/>
      <c r="F261" s="153"/>
      <c r="G261" s="271"/>
    </row>
    <row r="262" ht="15.75" customHeight="1">
      <c r="E262" s="398"/>
      <c r="F262" s="153"/>
      <c r="G262" s="271"/>
    </row>
    <row r="263" ht="15.75" customHeight="1">
      <c r="E263" s="398"/>
      <c r="F263" s="153"/>
      <c r="G263" s="271"/>
    </row>
    <row r="264" ht="15.75" customHeight="1">
      <c r="E264" s="398"/>
      <c r="F264" s="153"/>
      <c r="G264" s="271"/>
    </row>
    <row r="265" ht="15.75" customHeight="1">
      <c r="E265" s="398"/>
      <c r="F265" s="153"/>
      <c r="G265" s="271"/>
    </row>
    <row r="266" ht="15.75" customHeight="1">
      <c r="E266" s="398"/>
      <c r="F266" s="153"/>
      <c r="G266" s="271"/>
    </row>
    <row r="267" ht="15.75" customHeight="1">
      <c r="E267" s="398"/>
      <c r="F267" s="153"/>
      <c r="G267" s="271"/>
    </row>
    <row r="268" ht="15.75" customHeight="1">
      <c r="E268" s="398"/>
      <c r="F268" s="153"/>
      <c r="G268" s="271"/>
    </row>
    <row r="269" ht="15.75" customHeight="1">
      <c r="E269" s="398"/>
      <c r="F269" s="153"/>
      <c r="G269" s="271"/>
    </row>
    <row r="270" ht="15.75" customHeight="1">
      <c r="E270" s="398"/>
      <c r="F270" s="153"/>
      <c r="G270" s="271"/>
    </row>
    <row r="271" ht="15.75" customHeight="1">
      <c r="E271" s="398"/>
      <c r="F271" s="153"/>
      <c r="G271" s="271"/>
    </row>
    <row r="272" ht="15.75" customHeight="1">
      <c r="E272" s="398"/>
      <c r="F272" s="153"/>
      <c r="G272" s="271"/>
    </row>
    <row r="273" ht="15.75" customHeight="1">
      <c r="E273" s="398"/>
      <c r="F273" s="153"/>
      <c r="G273" s="271"/>
    </row>
    <row r="274" ht="15.75" customHeight="1">
      <c r="E274" s="398"/>
      <c r="F274" s="153"/>
      <c r="G274" s="271"/>
    </row>
    <row r="275" ht="15.75" customHeight="1">
      <c r="E275" s="398"/>
      <c r="F275" s="153"/>
      <c r="G275" s="271"/>
    </row>
    <row r="276" ht="15.75" customHeight="1">
      <c r="E276" s="398"/>
      <c r="F276" s="153"/>
      <c r="G276" s="271"/>
    </row>
    <row r="277" ht="15.75" customHeight="1">
      <c r="E277" s="398"/>
      <c r="F277" s="153"/>
      <c r="G277" s="271"/>
    </row>
    <row r="278" ht="15.75" customHeight="1">
      <c r="E278" s="398"/>
      <c r="F278" s="153"/>
      <c r="G278" s="27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mergeCells count="47">
    <mergeCell ref="A1:I4"/>
    <mergeCell ref="A7:A8"/>
    <mergeCell ref="B7:B8"/>
    <mergeCell ref="C7:C8"/>
    <mergeCell ref="D7:D8"/>
    <mergeCell ref="E7:E8"/>
    <mergeCell ref="A10:A11"/>
    <mergeCell ref="E10:E11"/>
    <mergeCell ref="H11:H13"/>
    <mergeCell ref="A18:A19"/>
    <mergeCell ref="B18:B19"/>
    <mergeCell ref="C18:C19"/>
    <mergeCell ref="D18:D19"/>
    <mergeCell ref="A20:A21"/>
    <mergeCell ref="E18:E19"/>
    <mergeCell ref="E20:E21"/>
    <mergeCell ref="A25:A27"/>
    <mergeCell ref="C25:C27"/>
    <mergeCell ref="A28:A29"/>
    <mergeCell ref="B28:B29"/>
    <mergeCell ref="C28:C29"/>
    <mergeCell ref="B35:B36"/>
    <mergeCell ref="C35:C36"/>
    <mergeCell ref="A40:A41"/>
    <mergeCell ref="B42:B44"/>
    <mergeCell ref="A47:A48"/>
    <mergeCell ref="C47:C48"/>
    <mergeCell ref="A49:A50"/>
    <mergeCell ref="C49:C50"/>
    <mergeCell ref="A51:A52"/>
    <mergeCell ref="C51:C52"/>
    <mergeCell ref="A30:A31"/>
    <mergeCell ref="B30:B31"/>
    <mergeCell ref="C30:C31"/>
    <mergeCell ref="A33:A34"/>
    <mergeCell ref="B33:B34"/>
    <mergeCell ref="C33:C34"/>
    <mergeCell ref="A35:A36"/>
    <mergeCell ref="E49:E50"/>
    <mergeCell ref="E51:E52"/>
    <mergeCell ref="E25:E27"/>
    <mergeCell ref="E28:E29"/>
    <mergeCell ref="E30:E31"/>
    <mergeCell ref="E33:E34"/>
    <mergeCell ref="E35:E36"/>
    <mergeCell ref="E40:E41"/>
    <mergeCell ref="E47:E48"/>
  </mergeCells>
  <conditionalFormatting sqref="I7:I57">
    <cfRule type="containsText" dxfId="4" priority="1" operator="containsText" text="PAGADO">
      <formula>NOT(ISERROR(SEARCH(("PAGADO"),(I7))))</formula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0.71"/>
    <col customWidth="1" min="3" max="3" width="30.0"/>
    <col customWidth="1" min="4" max="5" width="10.71"/>
    <col customWidth="1" min="6" max="6" width="12.57"/>
    <col customWidth="1" hidden="1" min="7" max="8" width="10.71"/>
    <col customWidth="1" min="9" max="9" width="14.86"/>
    <col customWidth="1" min="10" max="10" width="10.71"/>
    <col customWidth="1" min="11" max="11" width="15.14"/>
  </cols>
  <sheetData>
    <row r="2">
      <c r="D2" s="50" t="s">
        <v>654</v>
      </c>
    </row>
    <row r="4">
      <c r="A4" s="301" t="s">
        <v>655</v>
      </c>
      <c r="B4" s="303"/>
      <c r="C4" s="303"/>
      <c r="D4" s="303"/>
      <c r="E4" s="303"/>
      <c r="F4" s="303"/>
      <c r="G4" s="303"/>
      <c r="H4" s="303"/>
      <c r="I4" s="303"/>
      <c r="J4" s="303"/>
      <c r="K4" s="304"/>
    </row>
    <row r="5">
      <c r="A5" s="305" t="s">
        <v>658</v>
      </c>
      <c r="B5" s="306" t="s">
        <v>7</v>
      </c>
      <c r="C5" s="306" t="s">
        <v>9</v>
      </c>
      <c r="D5" s="306" t="s">
        <v>661</v>
      </c>
      <c r="E5" s="306" t="s">
        <v>10</v>
      </c>
      <c r="F5" s="306" t="s">
        <v>11</v>
      </c>
      <c r="G5" s="307" t="s">
        <v>662</v>
      </c>
      <c r="H5" s="176"/>
      <c r="I5" s="307" t="s">
        <v>665</v>
      </c>
      <c r="J5" s="176"/>
      <c r="K5" s="308" t="s">
        <v>13</v>
      </c>
    </row>
    <row r="6" ht="15.0" customHeight="1">
      <c r="A6" s="309"/>
      <c r="B6" s="282"/>
      <c r="C6" s="282"/>
      <c r="D6" s="282"/>
      <c r="E6" s="282"/>
      <c r="F6" s="282"/>
      <c r="G6" s="310" t="s">
        <v>27</v>
      </c>
      <c r="H6" s="310" t="s">
        <v>667</v>
      </c>
      <c r="I6" s="310" t="s">
        <v>27</v>
      </c>
      <c r="J6" s="310" t="s">
        <v>667</v>
      </c>
      <c r="K6" s="311"/>
    </row>
    <row r="7">
      <c r="A7" s="312">
        <v>2.0</v>
      </c>
      <c r="B7" s="313" t="s">
        <v>668</v>
      </c>
      <c r="C7" s="314" t="s">
        <v>511</v>
      </c>
      <c r="D7" s="315"/>
      <c r="E7" s="314"/>
      <c r="F7" s="316">
        <v>44275.0</v>
      </c>
      <c r="G7" s="317"/>
      <c r="H7" s="315"/>
      <c r="I7" s="318">
        <v>2010.01</v>
      </c>
      <c r="J7" s="319"/>
      <c r="K7" s="320" t="s">
        <v>34</v>
      </c>
    </row>
    <row r="8">
      <c r="A8" s="312">
        <v>3.0</v>
      </c>
      <c r="B8" s="321" t="s">
        <v>671</v>
      </c>
      <c r="C8" s="314" t="s">
        <v>672</v>
      </c>
      <c r="D8" s="315"/>
      <c r="E8" s="314"/>
      <c r="F8" s="316">
        <v>44278.0</v>
      </c>
      <c r="G8" s="317"/>
      <c r="H8" s="315"/>
      <c r="I8" s="318">
        <v>1581.22</v>
      </c>
      <c r="J8" s="319"/>
      <c r="K8" s="320" t="s">
        <v>34</v>
      </c>
    </row>
    <row r="9">
      <c r="A9" s="312">
        <v>4.0</v>
      </c>
      <c r="B9" s="313">
        <v>3.302001984E9</v>
      </c>
      <c r="C9" s="314" t="s">
        <v>674</v>
      </c>
      <c r="D9" s="315"/>
      <c r="E9" s="314"/>
      <c r="F9" s="316">
        <v>44279.0</v>
      </c>
      <c r="G9" s="317"/>
      <c r="H9" s="315"/>
      <c r="I9" s="318">
        <v>5000.0</v>
      </c>
      <c r="J9" s="319"/>
      <c r="K9" s="320" t="s">
        <v>676</v>
      </c>
    </row>
    <row r="10">
      <c r="A10" s="312">
        <v>5.0</v>
      </c>
      <c r="B10" s="321" t="s">
        <v>677</v>
      </c>
      <c r="C10" s="314" t="s">
        <v>672</v>
      </c>
      <c r="D10" s="315"/>
      <c r="E10" s="314"/>
      <c r="F10" s="316">
        <v>44279.0</v>
      </c>
      <c r="G10" s="317"/>
      <c r="H10" s="315"/>
      <c r="I10" s="318">
        <v>2040.94</v>
      </c>
      <c r="J10" s="319"/>
      <c r="K10" s="320" t="s">
        <v>34</v>
      </c>
    </row>
    <row r="11">
      <c r="A11" s="322">
        <v>6.0</v>
      </c>
      <c r="B11" s="323"/>
      <c r="C11" s="324" t="s">
        <v>511</v>
      </c>
      <c r="D11" s="326" t="s">
        <v>681</v>
      </c>
      <c r="E11" s="326">
        <v>44250.0</v>
      </c>
      <c r="F11" s="327">
        <v>44281.0</v>
      </c>
      <c r="G11" s="328">
        <v>5804.99</v>
      </c>
      <c r="H11" s="326"/>
      <c r="I11" s="330">
        <v>1935.0</v>
      </c>
      <c r="J11" s="331"/>
      <c r="K11" s="332"/>
    </row>
    <row r="12">
      <c r="A12" s="334" t="s">
        <v>682</v>
      </c>
      <c r="B12" s="335"/>
      <c r="C12" s="335"/>
      <c r="D12" s="335"/>
      <c r="E12" s="335"/>
      <c r="F12" s="336"/>
      <c r="G12" s="338"/>
      <c r="H12" s="338"/>
      <c r="I12" s="340">
        <f>SUM(I7:I11)</f>
        <v>12567.17</v>
      </c>
    </row>
    <row r="14">
      <c r="A14" s="341" t="s">
        <v>692</v>
      </c>
      <c r="B14" s="342"/>
      <c r="C14" s="342"/>
      <c r="D14" s="342"/>
      <c r="E14" s="342"/>
      <c r="F14" s="342"/>
      <c r="G14" s="342"/>
      <c r="H14" s="342"/>
      <c r="I14" s="342"/>
      <c r="J14" s="342"/>
      <c r="K14" s="343"/>
    </row>
    <row r="15" ht="27.0" customHeight="1">
      <c r="A15" s="305" t="s">
        <v>658</v>
      </c>
      <c r="B15" s="306" t="s">
        <v>7</v>
      </c>
      <c r="C15" s="306" t="s">
        <v>9</v>
      </c>
      <c r="D15" s="306" t="s">
        <v>661</v>
      </c>
      <c r="E15" s="306" t="s">
        <v>10</v>
      </c>
      <c r="F15" s="306" t="s">
        <v>11</v>
      </c>
      <c r="G15" s="346" t="s">
        <v>665</v>
      </c>
      <c r="H15" s="347"/>
      <c r="I15" s="348" t="s">
        <v>700</v>
      </c>
      <c r="J15" s="349"/>
      <c r="K15" s="308" t="s">
        <v>13</v>
      </c>
    </row>
    <row r="16" ht="24.0" customHeight="1">
      <c r="A16" s="309"/>
      <c r="B16" s="282"/>
      <c r="C16" s="282"/>
      <c r="D16" s="282"/>
      <c r="E16" s="282"/>
      <c r="F16" s="282"/>
      <c r="G16" s="310" t="s">
        <v>27</v>
      </c>
      <c r="H16" s="310" t="s">
        <v>667</v>
      </c>
      <c r="I16" s="351" t="s">
        <v>27</v>
      </c>
      <c r="J16" s="310" t="s">
        <v>667</v>
      </c>
      <c r="K16" s="311"/>
    </row>
    <row r="17" ht="27.0" customHeight="1">
      <c r="A17" s="352">
        <v>1.0</v>
      </c>
      <c r="B17" s="354" t="s">
        <v>702</v>
      </c>
      <c r="C17" s="355" t="s">
        <v>73</v>
      </c>
      <c r="D17" s="357">
        <v>23974.0</v>
      </c>
      <c r="E17" s="358">
        <v>44210.0</v>
      </c>
      <c r="F17" s="359">
        <v>44278.0</v>
      </c>
      <c r="G17" s="357">
        <v>23974.0</v>
      </c>
      <c r="H17" s="360">
        <v>1581.22</v>
      </c>
      <c r="I17" s="360">
        <v>1581.22</v>
      </c>
      <c r="J17" s="354"/>
      <c r="K17" s="361" t="s">
        <v>34</v>
      </c>
    </row>
    <row r="18">
      <c r="A18" s="362">
        <v>2.0</v>
      </c>
      <c r="B18" s="365" t="s">
        <v>702</v>
      </c>
      <c r="C18" s="366" t="s">
        <v>73</v>
      </c>
      <c r="D18" s="367">
        <v>24038.0</v>
      </c>
      <c r="E18" s="368">
        <v>44211.0</v>
      </c>
      <c r="F18" s="369">
        <v>44279.0</v>
      </c>
      <c r="G18" s="367">
        <v>24038.0</v>
      </c>
      <c r="H18" s="370">
        <v>2040.94</v>
      </c>
      <c r="I18" s="370">
        <v>2040.94</v>
      </c>
      <c r="J18" s="371"/>
      <c r="K18" s="372" t="s">
        <v>34</v>
      </c>
    </row>
    <row r="19">
      <c r="A19" s="374" t="s">
        <v>682</v>
      </c>
      <c r="B19" s="375"/>
      <c r="C19" s="375"/>
      <c r="D19" s="375"/>
      <c r="E19" s="375"/>
      <c r="F19" s="377"/>
      <c r="G19" s="379"/>
      <c r="H19" s="379"/>
      <c r="I19" s="380">
        <f>SUM(I17:I18)</f>
        <v>3622.16</v>
      </c>
    </row>
    <row r="21" ht="15.75" customHeight="1"/>
    <row r="22" ht="15.75" customHeight="1">
      <c r="C22" s="381" t="s">
        <v>713</v>
      </c>
      <c r="D22" s="335"/>
      <c r="E22" s="335"/>
      <c r="F22" s="336"/>
      <c r="G22" s="382"/>
      <c r="H22" s="382"/>
      <c r="I22" s="383">
        <f>I12+I19</f>
        <v>16189.33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5:H5"/>
    <mergeCell ref="I5:J5"/>
    <mergeCell ref="A4:K4"/>
    <mergeCell ref="A5:A6"/>
    <mergeCell ref="B5:B6"/>
    <mergeCell ref="C5:C6"/>
    <mergeCell ref="D5:D6"/>
    <mergeCell ref="E5:E6"/>
    <mergeCell ref="K5:K6"/>
    <mergeCell ref="E15:E16"/>
    <mergeCell ref="F15:F16"/>
    <mergeCell ref="A19:F19"/>
    <mergeCell ref="C22:F22"/>
    <mergeCell ref="I15:J15"/>
    <mergeCell ref="K15:K16"/>
    <mergeCell ref="F5:F6"/>
    <mergeCell ref="A12:F12"/>
    <mergeCell ref="A14:K14"/>
    <mergeCell ref="A15:A16"/>
    <mergeCell ref="B15:B16"/>
    <mergeCell ref="C15:C16"/>
    <mergeCell ref="D15:D1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2.29"/>
    <col customWidth="1" min="3" max="3" width="13.43"/>
    <col customWidth="1" min="4" max="4" width="14.0"/>
    <col customWidth="1" min="5" max="5" width="10.71"/>
    <col customWidth="1" min="6" max="6" width="12.0"/>
    <col customWidth="1" min="7" max="7" width="35.0"/>
    <col customWidth="1" min="8" max="8" width="13.43"/>
  </cols>
  <sheetData>
    <row r="2">
      <c r="B2" s="325" t="s">
        <v>679</v>
      </c>
      <c r="C2" s="325"/>
      <c r="D2" s="325"/>
    </row>
    <row r="3">
      <c r="B3" s="325"/>
      <c r="C3" s="325"/>
      <c r="D3" s="325"/>
    </row>
    <row r="4">
      <c r="B4" s="325"/>
      <c r="C4" s="325"/>
      <c r="D4" s="325"/>
    </row>
    <row r="5">
      <c r="B5" s="333" t="s">
        <v>249</v>
      </c>
      <c r="C5" s="333" t="s">
        <v>683</v>
      </c>
      <c r="D5" s="333" t="s">
        <v>684</v>
      </c>
    </row>
    <row r="6">
      <c r="B6" s="337" t="s">
        <v>685</v>
      </c>
      <c r="C6" s="339">
        <v>2376.0</v>
      </c>
      <c r="D6" s="339"/>
    </row>
    <row r="7">
      <c r="B7" s="337" t="s">
        <v>687</v>
      </c>
      <c r="C7" s="339">
        <v>1964.6</v>
      </c>
      <c r="D7" s="339"/>
    </row>
    <row r="8">
      <c r="B8" s="337" t="s">
        <v>689</v>
      </c>
      <c r="C8" s="339">
        <v>2785.6</v>
      </c>
      <c r="D8" s="339"/>
    </row>
    <row r="9">
      <c r="B9" s="337" t="s">
        <v>690</v>
      </c>
      <c r="C9" s="339">
        <v>1831.0</v>
      </c>
      <c r="D9" s="339"/>
    </row>
    <row r="10">
      <c r="B10" s="337" t="s">
        <v>691</v>
      </c>
      <c r="C10" s="339"/>
      <c r="D10" s="339">
        <v>4030.0</v>
      </c>
    </row>
    <row r="11">
      <c r="B11" s="337" t="s">
        <v>693</v>
      </c>
      <c r="C11" s="339"/>
      <c r="D11" s="339">
        <v>730.0</v>
      </c>
    </row>
    <row r="12">
      <c r="B12" s="337" t="s">
        <v>694</v>
      </c>
      <c r="C12" s="339"/>
      <c r="D12" s="339">
        <v>673.0</v>
      </c>
    </row>
    <row r="13">
      <c r="B13" s="337" t="s">
        <v>695</v>
      </c>
      <c r="C13" s="339"/>
      <c r="D13" s="339">
        <v>3522.03</v>
      </c>
    </row>
    <row r="14">
      <c r="B14" s="337" t="s">
        <v>697</v>
      </c>
      <c r="C14" s="339"/>
      <c r="D14" s="339">
        <v>2.0</v>
      </c>
    </row>
    <row r="15">
      <c r="B15" s="344" t="s">
        <v>698</v>
      </c>
      <c r="C15" s="350">
        <f>SUM(C6:C13)</f>
        <v>8957.2</v>
      </c>
      <c r="D15" s="350">
        <f>SUM(D6:D14)</f>
        <v>8957.03</v>
      </c>
    </row>
    <row r="16">
      <c r="B16" s="325"/>
      <c r="C16" s="353"/>
      <c r="D16" s="353"/>
    </row>
    <row r="17">
      <c r="B17" s="356" t="s">
        <v>457</v>
      </c>
      <c r="C17" s="363">
        <f>C15-D15</f>
        <v>0.17</v>
      </c>
      <c r="D17" s="176"/>
      <c r="E17" s="50" t="s">
        <v>704</v>
      </c>
    </row>
    <row r="19">
      <c r="B19" s="325" t="s">
        <v>705</v>
      </c>
    </row>
    <row r="21" ht="15.75" customHeight="1">
      <c r="B21" s="333" t="s">
        <v>249</v>
      </c>
      <c r="C21" s="333" t="s">
        <v>683</v>
      </c>
      <c r="D21" s="333" t="s">
        <v>684</v>
      </c>
    </row>
    <row r="22" ht="15.75" customHeight="1">
      <c r="B22" s="337" t="s">
        <v>685</v>
      </c>
      <c r="C22" s="339">
        <v>1000.0</v>
      </c>
      <c r="D22" s="339"/>
    </row>
    <row r="23" ht="15.75" customHeight="1">
      <c r="B23" s="337" t="s">
        <v>687</v>
      </c>
      <c r="C23" s="339">
        <v>9066.6</v>
      </c>
      <c r="D23" s="339"/>
    </row>
    <row r="24" ht="15.75" customHeight="1">
      <c r="B24" s="373" t="s">
        <v>708</v>
      </c>
      <c r="C24" s="376"/>
      <c r="D24" s="376">
        <v>757.0</v>
      </c>
      <c r="E24" s="378"/>
    </row>
    <row r="25" ht="15.75" customHeight="1">
      <c r="B25" s="373" t="s">
        <v>709</v>
      </c>
      <c r="C25" s="376"/>
      <c r="D25" s="376">
        <v>1167.0</v>
      </c>
    </row>
    <row r="26" ht="15.75" customHeight="1">
      <c r="B26" s="373" t="s">
        <v>710</v>
      </c>
      <c r="C26" s="376"/>
      <c r="D26" s="376">
        <v>654.0</v>
      </c>
      <c r="F26" s="378"/>
    </row>
    <row r="27" ht="15.75" customHeight="1">
      <c r="B27" s="373" t="s">
        <v>711</v>
      </c>
      <c r="C27" s="376"/>
      <c r="D27" s="376">
        <v>518.4</v>
      </c>
    </row>
    <row r="28" ht="15.75" customHeight="1">
      <c r="B28" s="373" t="s">
        <v>712</v>
      </c>
      <c r="C28" s="376"/>
      <c r="D28" s="376">
        <v>16.0</v>
      </c>
      <c r="G28" s="378"/>
    </row>
    <row r="29" ht="15.75" customHeight="1">
      <c r="B29" s="373" t="s">
        <v>714</v>
      </c>
      <c r="C29" s="376"/>
      <c r="D29" s="376">
        <v>18.0</v>
      </c>
      <c r="E29" s="50" t="s">
        <v>715</v>
      </c>
      <c r="G29" s="378"/>
    </row>
    <row r="30" ht="15.75" customHeight="1">
      <c r="B30" s="373" t="s">
        <v>716</v>
      </c>
      <c r="C30" s="376"/>
      <c r="D30" s="376">
        <v>6.0</v>
      </c>
      <c r="G30" s="378"/>
    </row>
    <row r="31" ht="15.75" customHeight="1">
      <c r="B31" s="373" t="s">
        <v>717</v>
      </c>
      <c r="C31" s="376"/>
      <c r="D31" s="376">
        <v>9.0</v>
      </c>
      <c r="E31" s="378"/>
      <c r="F31" s="378"/>
    </row>
    <row r="32" ht="15.75" customHeight="1">
      <c r="B32" s="384" t="s">
        <v>720</v>
      </c>
      <c r="C32" s="314"/>
      <c r="D32" s="376">
        <v>60.0</v>
      </c>
      <c r="F32" s="378"/>
    </row>
    <row r="33" ht="15.75" customHeight="1">
      <c r="B33" s="373" t="s">
        <v>725</v>
      </c>
      <c r="C33" s="376"/>
      <c r="D33" s="376">
        <v>6.0</v>
      </c>
      <c r="F33" s="378"/>
    </row>
    <row r="34" ht="15.75" customHeight="1">
      <c r="B34" s="384" t="s">
        <v>728</v>
      </c>
      <c r="D34" s="385">
        <v>5.0</v>
      </c>
    </row>
    <row r="35" ht="15.75" customHeight="1">
      <c r="B35" s="384" t="s">
        <v>731</v>
      </c>
      <c r="D35" s="385">
        <v>50.0</v>
      </c>
      <c r="E35" s="50" t="s">
        <v>67</v>
      </c>
    </row>
    <row r="36" ht="15.75" customHeight="1">
      <c r="B36" s="384" t="s">
        <v>735</v>
      </c>
      <c r="D36" s="385">
        <v>392.0</v>
      </c>
    </row>
    <row r="37" ht="15.75" customHeight="1">
      <c r="B37" s="344" t="s">
        <v>698</v>
      </c>
      <c r="C37" s="386">
        <f>SUM(C22:C33)</f>
        <v>10066.6</v>
      </c>
      <c r="D37" s="386">
        <f>SUM(D24:D36)</f>
        <v>3658.4</v>
      </c>
    </row>
    <row r="38" ht="15.75" customHeight="1"/>
    <row r="39" ht="15.75" customHeight="1">
      <c r="B39" s="356" t="s">
        <v>457</v>
      </c>
      <c r="C39" s="387">
        <f>C37-D37</f>
        <v>6408.2</v>
      </c>
      <c r="E39" s="50" t="s">
        <v>704</v>
      </c>
    </row>
    <row r="40" ht="15.75" customHeight="1"/>
    <row r="41" ht="15.75" customHeight="1">
      <c r="C41" s="378"/>
    </row>
    <row r="42" ht="15.75" customHeight="1">
      <c r="B42" s="325" t="s">
        <v>679</v>
      </c>
      <c r="C42" s="325"/>
      <c r="D42" s="325"/>
    </row>
    <row r="43" ht="15.75" customHeight="1">
      <c r="B43" s="325"/>
      <c r="C43" s="325"/>
      <c r="D43" s="325"/>
    </row>
    <row r="44" ht="15.75" customHeight="1">
      <c r="B44" s="325"/>
      <c r="C44" s="325"/>
      <c r="D44" s="325"/>
    </row>
    <row r="45" ht="15.75" customHeight="1">
      <c r="B45" s="333" t="s">
        <v>249</v>
      </c>
      <c r="C45" s="333" t="s">
        <v>683</v>
      </c>
      <c r="D45" s="333" t="s">
        <v>684</v>
      </c>
    </row>
    <row r="46" ht="15.75" customHeight="1">
      <c r="B46" s="337" t="s">
        <v>685</v>
      </c>
      <c r="C46" s="339">
        <v>2940.0</v>
      </c>
      <c r="D46" s="339"/>
    </row>
    <row r="47" ht="15.75" customHeight="1">
      <c r="B47" s="337" t="s">
        <v>687</v>
      </c>
      <c r="C47" s="339">
        <v>1017.7</v>
      </c>
      <c r="D47" s="339"/>
    </row>
    <row r="48" ht="15.75" customHeight="1">
      <c r="B48" s="337" t="s">
        <v>689</v>
      </c>
      <c r="C48" s="339">
        <v>1303.4</v>
      </c>
      <c r="D48" s="339"/>
    </row>
    <row r="49" ht="15.75" customHeight="1">
      <c r="B49" s="337" t="s">
        <v>744</v>
      </c>
      <c r="C49" s="339">
        <v>1341.0</v>
      </c>
      <c r="D49" s="339"/>
    </row>
    <row r="50" ht="15.75" customHeight="1">
      <c r="B50" s="337" t="s">
        <v>747</v>
      </c>
      <c r="C50" s="339">
        <v>650.0</v>
      </c>
      <c r="D50" s="339"/>
    </row>
    <row r="51" ht="15.75" customHeight="1">
      <c r="B51" s="337" t="s">
        <v>748</v>
      </c>
      <c r="C51" s="339">
        <v>3500.0</v>
      </c>
      <c r="D51" s="339"/>
    </row>
    <row r="52" ht="15.75" customHeight="1">
      <c r="B52" s="337" t="s">
        <v>749</v>
      </c>
      <c r="C52" s="339"/>
      <c r="D52" s="339">
        <v>200.0</v>
      </c>
    </row>
    <row r="53" ht="15.75" customHeight="1">
      <c r="B53" s="337" t="s">
        <v>725</v>
      </c>
      <c r="C53" s="339"/>
      <c r="D53" s="339">
        <v>6.0</v>
      </c>
    </row>
    <row r="54" ht="15.75" customHeight="1">
      <c r="B54" s="337" t="s">
        <v>750</v>
      </c>
      <c r="C54" s="339"/>
      <c r="D54" s="339">
        <v>2.5</v>
      </c>
    </row>
    <row r="55" ht="15.75" customHeight="1">
      <c r="B55" s="337"/>
      <c r="C55" s="339"/>
      <c r="D55" s="339"/>
    </row>
    <row r="56" ht="15.75" customHeight="1">
      <c r="B56" s="337"/>
      <c r="C56" s="339"/>
      <c r="D56" s="339"/>
    </row>
    <row r="57" ht="15.75" customHeight="1">
      <c r="B57" s="344" t="s">
        <v>698</v>
      </c>
      <c r="C57" s="350">
        <f>SUM(C46:C55)</f>
        <v>10752.1</v>
      </c>
      <c r="D57" s="350">
        <f>SUM(D46:D56)</f>
        <v>208.5</v>
      </c>
    </row>
    <row r="58" ht="15.75" customHeight="1">
      <c r="B58" s="325"/>
      <c r="C58" s="353"/>
      <c r="D58" s="353"/>
    </row>
    <row r="59" ht="15.75" customHeight="1">
      <c r="B59" s="356" t="s">
        <v>457</v>
      </c>
      <c r="C59" s="363">
        <f>C57-D57</f>
        <v>10543.6</v>
      </c>
      <c r="D59" s="176"/>
      <c r="E59" s="50" t="s">
        <v>759</v>
      </c>
    </row>
    <row r="60" ht="15.75" customHeight="1"/>
    <row r="61" ht="15.75" customHeight="1">
      <c r="B61" s="325" t="s">
        <v>762</v>
      </c>
    </row>
    <row r="62" ht="15.75" customHeight="1"/>
    <row r="63" ht="15.75" customHeight="1">
      <c r="B63" s="333" t="s">
        <v>249</v>
      </c>
      <c r="C63" s="333" t="s">
        <v>683</v>
      </c>
      <c r="D63" s="333" t="s">
        <v>684</v>
      </c>
    </row>
    <row r="64" ht="15.75" customHeight="1">
      <c r="B64" s="337" t="s">
        <v>685</v>
      </c>
      <c r="C64" s="339">
        <v>1130.0</v>
      </c>
      <c r="D64" s="339"/>
    </row>
    <row r="65" ht="15.75" customHeight="1">
      <c r="B65" s="337" t="s">
        <v>687</v>
      </c>
      <c r="C65" s="339">
        <v>643.5</v>
      </c>
      <c r="D65" s="339"/>
    </row>
    <row r="66" ht="15.75" customHeight="1">
      <c r="B66" s="337" t="s">
        <v>689</v>
      </c>
      <c r="C66" s="339">
        <v>830.0</v>
      </c>
      <c r="D66" s="339"/>
    </row>
    <row r="67" ht="15.75" customHeight="1">
      <c r="B67" s="337" t="s">
        <v>764</v>
      </c>
      <c r="C67" s="339">
        <v>700.0</v>
      </c>
      <c r="D67" s="339"/>
    </row>
    <row r="68" ht="15.75" customHeight="1">
      <c r="B68" s="337" t="s">
        <v>767</v>
      </c>
      <c r="C68" s="339"/>
      <c r="D68" s="339">
        <v>3240.0</v>
      </c>
    </row>
    <row r="69" ht="15.75" customHeight="1">
      <c r="B69" s="337" t="s">
        <v>768</v>
      </c>
      <c r="C69" s="339"/>
      <c r="D69" s="339">
        <v>5.5</v>
      </c>
    </row>
    <row r="70" ht="15.75" customHeight="1">
      <c r="B70" s="337"/>
      <c r="C70" s="339"/>
      <c r="D70" s="339"/>
    </row>
    <row r="71" ht="15.75" customHeight="1">
      <c r="B71" s="337"/>
      <c r="C71" s="339"/>
      <c r="D71" s="339"/>
    </row>
    <row r="72" ht="15.75" customHeight="1">
      <c r="B72" s="337"/>
      <c r="C72" s="339"/>
      <c r="D72" s="339"/>
    </row>
    <row r="73" ht="15.75" customHeight="1">
      <c r="B73" s="337"/>
      <c r="C73" s="339"/>
      <c r="D73" s="339"/>
    </row>
    <row r="74" ht="15.75" customHeight="1">
      <c r="B74" s="337"/>
      <c r="C74" s="339"/>
      <c r="D74" s="339"/>
    </row>
    <row r="75" ht="15.75" customHeight="1">
      <c r="B75" s="344" t="s">
        <v>698</v>
      </c>
      <c r="C75" s="350">
        <f>SUM(C64:C73)</f>
        <v>3303.5</v>
      </c>
      <c r="D75" s="350">
        <f>SUM(D64:D74)</f>
        <v>3245.5</v>
      </c>
    </row>
    <row r="76" ht="15.75" customHeight="1">
      <c r="B76" s="325"/>
      <c r="C76" s="353"/>
      <c r="D76" s="353"/>
    </row>
    <row r="77" ht="15.75" customHeight="1">
      <c r="B77" s="356" t="s">
        <v>457</v>
      </c>
      <c r="C77" s="363">
        <f>C75-D75</f>
        <v>58</v>
      </c>
      <c r="D77" s="176"/>
      <c r="E77" s="50" t="s">
        <v>773</v>
      </c>
    </row>
    <row r="78" ht="15.75" customHeight="1"/>
    <row r="79" ht="15.75" customHeight="1"/>
    <row r="80" ht="15.75" customHeight="1">
      <c r="B80" s="325" t="s">
        <v>774</v>
      </c>
    </row>
    <row r="81" ht="15.75" customHeight="1"/>
    <row r="82" ht="15.75" customHeight="1">
      <c r="B82" s="333" t="s">
        <v>249</v>
      </c>
      <c r="C82" s="333" t="s">
        <v>683</v>
      </c>
      <c r="D82" s="333" t="s">
        <v>684</v>
      </c>
    </row>
    <row r="83" ht="15.75" customHeight="1">
      <c r="B83" s="337" t="s">
        <v>685</v>
      </c>
      <c r="C83" s="339">
        <v>1600.0</v>
      </c>
      <c r="D83" s="339"/>
    </row>
    <row r="84" ht="15.75" customHeight="1">
      <c r="B84" s="337" t="s">
        <v>687</v>
      </c>
      <c r="C84" s="339">
        <v>1380.0</v>
      </c>
      <c r="D84" s="339"/>
    </row>
    <row r="85" ht="15.75" customHeight="1">
      <c r="B85" s="337" t="s">
        <v>689</v>
      </c>
      <c r="C85" s="339">
        <v>1350.0</v>
      </c>
      <c r="D85" s="339"/>
    </row>
    <row r="86" ht="15.75" customHeight="1">
      <c r="B86" s="337" t="s">
        <v>775</v>
      </c>
      <c r="C86" s="339"/>
      <c r="D86" s="339">
        <v>584.2</v>
      </c>
      <c r="F86" s="50">
        <v>4330.0</v>
      </c>
    </row>
    <row r="87" ht="15.75" customHeight="1">
      <c r="B87" s="337" t="s">
        <v>776</v>
      </c>
      <c r="C87" s="339"/>
      <c r="D87" s="339">
        <v>480.0</v>
      </c>
      <c r="F87" s="50">
        <v>2000.0</v>
      </c>
    </row>
    <row r="88" ht="15.75" customHeight="1">
      <c r="B88" s="337" t="s">
        <v>777</v>
      </c>
      <c r="C88" s="339"/>
      <c r="D88" s="339">
        <v>300.0</v>
      </c>
      <c r="F88" s="50">
        <f>F86+F87</f>
        <v>6330</v>
      </c>
    </row>
    <row r="89" ht="15.75" customHeight="1">
      <c r="B89" s="337" t="s">
        <v>778</v>
      </c>
      <c r="C89" s="339"/>
      <c r="D89" s="339">
        <v>200.0</v>
      </c>
      <c r="F89" s="50">
        <v>9380.0</v>
      </c>
    </row>
    <row r="90" ht="15.75" customHeight="1">
      <c r="B90" s="337" t="s">
        <v>768</v>
      </c>
      <c r="C90" s="339"/>
      <c r="D90" s="339">
        <v>6.0</v>
      </c>
      <c r="F90" s="394">
        <f>F88+F89</f>
        <v>15710</v>
      </c>
      <c r="G90" s="50">
        <v>15322.1</v>
      </c>
    </row>
    <row r="91" ht="15.75" customHeight="1">
      <c r="B91" s="337"/>
      <c r="C91" s="339"/>
      <c r="D91" s="339"/>
      <c r="G91" s="50">
        <f>F90-G90</f>
        <v>387.9</v>
      </c>
    </row>
    <row r="92" ht="15.75" customHeight="1">
      <c r="B92" s="337"/>
      <c r="C92" s="339"/>
      <c r="D92" s="339"/>
    </row>
    <row r="93" ht="15.75" customHeight="1">
      <c r="B93" s="337"/>
      <c r="C93" s="339"/>
      <c r="D93" s="339"/>
    </row>
    <row r="94" ht="15.75" customHeight="1">
      <c r="B94" s="344" t="s">
        <v>698</v>
      </c>
      <c r="C94" s="350">
        <f>SUM(C83:C92)</f>
        <v>4330</v>
      </c>
      <c r="D94" s="350">
        <f>SUM(D83:D93)</f>
        <v>1570.2</v>
      </c>
    </row>
    <row r="95" ht="15.75" customHeight="1">
      <c r="B95" s="325"/>
      <c r="C95" s="353"/>
      <c r="D95" s="353">
        <v>2000.0</v>
      </c>
    </row>
    <row r="96" ht="15.75" customHeight="1">
      <c r="B96" s="356" t="s">
        <v>457</v>
      </c>
      <c r="C96" s="363">
        <f>C94-D94</f>
        <v>2759.8</v>
      </c>
      <c r="D96" s="176"/>
    </row>
    <row r="97" ht="15.75" customHeight="1"/>
    <row r="98" ht="15.75" customHeight="1"/>
    <row r="99" ht="15.75" customHeight="1"/>
    <row r="100" ht="15.75" customHeight="1">
      <c r="B100" s="50" t="s">
        <v>779</v>
      </c>
    </row>
    <row r="101" ht="15.75" customHeight="1"/>
    <row r="102" ht="15.75" customHeight="1">
      <c r="B102" s="333" t="s">
        <v>249</v>
      </c>
      <c r="C102" s="333" t="s">
        <v>683</v>
      </c>
      <c r="D102" s="333" t="s">
        <v>684</v>
      </c>
    </row>
    <row r="103" ht="15.75" customHeight="1">
      <c r="B103" s="337" t="s">
        <v>685</v>
      </c>
      <c r="C103" s="339">
        <v>1395.0</v>
      </c>
      <c r="D103" s="339"/>
    </row>
    <row r="104" ht="15.75" customHeight="1">
      <c r="B104" s="337" t="s">
        <v>687</v>
      </c>
      <c r="C104" s="339">
        <v>4120.0</v>
      </c>
      <c r="D104" s="339"/>
    </row>
    <row r="105" ht="15.75" customHeight="1">
      <c r="B105" s="337" t="s">
        <v>689</v>
      </c>
      <c r="C105" s="339">
        <v>1120.0</v>
      </c>
      <c r="D105" s="339"/>
    </row>
    <row r="106" ht="15.75" customHeight="1">
      <c r="B106" s="337" t="s">
        <v>768</v>
      </c>
      <c r="C106" s="339"/>
      <c r="D106" s="339">
        <v>2.5</v>
      </c>
    </row>
    <row r="107" ht="15.75" customHeight="1">
      <c r="B107" s="337" t="s">
        <v>780</v>
      </c>
      <c r="C107" s="339"/>
      <c r="D107" s="339">
        <v>700.0</v>
      </c>
    </row>
    <row r="108" ht="15.75" customHeight="1">
      <c r="B108" s="337"/>
      <c r="C108" s="339"/>
      <c r="D108" s="339"/>
    </row>
    <row r="109" ht="15.75" customHeight="1">
      <c r="B109" s="337"/>
      <c r="C109" s="339"/>
      <c r="D109" s="339"/>
    </row>
    <row r="110" ht="15.75" customHeight="1">
      <c r="B110" s="337"/>
      <c r="C110" s="339"/>
      <c r="D110" s="339"/>
    </row>
    <row r="111" ht="15.75" customHeight="1">
      <c r="B111" s="337"/>
      <c r="C111" s="339"/>
      <c r="D111" s="339"/>
    </row>
    <row r="112" ht="15.75" customHeight="1">
      <c r="B112" s="337"/>
      <c r="C112" s="339"/>
      <c r="D112" s="339"/>
    </row>
    <row r="113" ht="15.75" customHeight="1">
      <c r="B113" s="344" t="s">
        <v>698</v>
      </c>
      <c r="C113" s="350">
        <f>SUM(C103:C111)</f>
        <v>6635</v>
      </c>
      <c r="D113" s="350">
        <f>SUM(D103:D112)</f>
        <v>702.5</v>
      </c>
    </row>
    <row r="114" ht="15.75" customHeight="1"/>
    <row r="115" ht="15.75" customHeight="1"/>
    <row r="116" ht="15.75" customHeight="1">
      <c r="B116" s="356" t="s">
        <v>457</v>
      </c>
      <c r="C116" s="363">
        <f>C113-D113</f>
        <v>5932.5</v>
      </c>
      <c r="D116" s="176"/>
    </row>
    <row r="117" ht="15.75" customHeight="1"/>
    <row r="118" ht="15.75" customHeight="1"/>
    <row r="119" ht="15.75" customHeight="1"/>
    <row r="120" ht="15.75" customHeight="1">
      <c r="B120" s="50" t="s">
        <v>781</v>
      </c>
    </row>
    <row r="121" ht="15.75" customHeight="1"/>
    <row r="122" ht="15.75" customHeight="1">
      <c r="B122" s="333" t="s">
        <v>249</v>
      </c>
      <c r="C122" s="333" t="s">
        <v>683</v>
      </c>
      <c r="D122" s="333" t="s">
        <v>684</v>
      </c>
    </row>
    <row r="123" ht="15.75" customHeight="1">
      <c r="B123" s="337" t="s">
        <v>685</v>
      </c>
      <c r="C123" s="339">
        <v>2291.0</v>
      </c>
      <c r="D123" s="339"/>
    </row>
    <row r="124" ht="15.75" customHeight="1">
      <c r="B124" s="337" t="s">
        <v>687</v>
      </c>
      <c r="C124" s="339">
        <v>5381.6</v>
      </c>
      <c r="D124" s="339"/>
    </row>
    <row r="125" ht="15.75" customHeight="1">
      <c r="B125" s="337" t="s">
        <v>689</v>
      </c>
      <c r="C125" s="339">
        <v>100.0</v>
      </c>
      <c r="D125" s="339"/>
    </row>
    <row r="126" ht="15.75" customHeight="1">
      <c r="B126" s="337" t="s">
        <v>782</v>
      </c>
      <c r="C126" s="339"/>
      <c r="D126" s="339">
        <v>3410.0</v>
      </c>
    </row>
    <row r="127" ht="15.75" customHeight="1">
      <c r="B127" s="337" t="s">
        <v>783</v>
      </c>
      <c r="C127" s="339"/>
      <c r="D127" s="339">
        <v>1289.0</v>
      </c>
      <c r="E127" s="50">
        <v>189.0</v>
      </c>
    </row>
    <row r="128" ht="15.75" customHeight="1">
      <c r="B128" s="337" t="s">
        <v>784</v>
      </c>
      <c r="C128" s="339"/>
      <c r="D128" s="339">
        <v>3.0</v>
      </c>
    </row>
    <row r="129" ht="15.75" customHeight="1">
      <c r="B129" s="337" t="s">
        <v>785</v>
      </c>
      <c r="C129" s="339"/>
      <c r="D129" s="339">
        <v>5.0</v>
      </c>
    </row>
    <row r="130" ht="15.75" customHeight="1">
      <c r="B130" s="337" t="s">
        <v>786</v>
      </c>
      <c r="C130" s="339"/>
      <c r="D130" s="339">
        <v>15.0</v>
      </c>
    </row>
    <row r="131" ht="15.75" customHeight="1">
      <c r="B131" s="337"/>
      <c r="C131" s="339"/>
      <c r="D131" s="339"/>
    </row>
    <row r="132" ht="15.75" customHeight="1">
      <c r="B132" s="337"/>
      <c r="C132" s="339"/>
      <c r="D132" s="339"/>
    </row>
    <row r="133" ht="15.75" customHeight="1">
      <c r="B133" s="344" t="s">
        <v>698</v>
      </c>
      <c r="C133" s="350">
        <f>SUM(C123:C131)</f>
        <v>7772.6</v>
      </c>
      <c r="D133" s="350">
        <f>SUM(D123:D132)</f>
        <v>4722</v>
      </c>
    </row>
    <row r="134" ht="15.75" customHeight="1"/>
    <row r="135" ht="15.75" customHeight="1"/>
    <row r="136" ht="15.75" customHeight="1">
      <c r="B136" s="356" t="s">
        <v>457</v>
      </c>
      <c r="C136" s="363">
        <f>C133-D133</f>
        <v>3050.6</v>
      </c>
      <c r="D136" s="176"/>
    </row>
    <row r="137" ht="15.75" customHeight="1"/>
    <row r="138" ht="15.75" customHeight="1"/>
    <row r="139" ht="15.75" customHeight="1">
      <c r="B139" s="50" t="s">
        <v>787</v>
      </c>
    </row>
    <row r="140" ht="15.75" customHeight="1"/>
    <row r="141" ht="15.75" customHeight="1">
      <c r="B141" s="333" t="s">
        <v>249</v>
      </c>
      <c r="C141" s="333" t="s">
        <v>683</v>
      </c>
      <c r="D141" s="333" t="s">
        <v>684</v>
      </c>
    </row>
    <row r="142" ht="15.75" customHeight="1">
      <c r="B142" s="337" t="s">
        <v>685</v>
      </c>
      <c r="C142" s="339">
        <v>2650.0</v>
      </c>
      <c r="D142" s="339"/>
    </row>
    <row r="143" ht="15.75" customHeight="1">
      <c r="B143" s="337" t="s">
        <v>687</v>
      </c>
      <c r="C143" s="339">
        <v>1912.5</v>
      </c>
      <c r="D143" s="339"/>
    </row>
    <row r="144" ht="15.75" customHeight="1">
      <c r="B144" s="337" t="s">
        <v>689</v>
      </c>
      <c r="C144" s="339">
        <v>3930.0</v>
      </c>
      <c r="D144" s="339"/>
    </row>
    <row r="145" ht="15.75" customHeight="1">
      <c r="B145" s="337" t="s">
        <v>788</v>
      </c>
      <c r="C145" s="339"/>
      <c r="D145" s="339">
        <v>1711.7</v>
      </c>
    </row>
    <row r="146" ht="15.75" customHeight="1">
      <c r="B146" s="337" t="s">
        <v>789</v>
      </c>
      <c r="C146" s="339"/>
      <c r="D146" s="339">
        <v>3050.0</v>
      </c>
    </row>
    <row r="147" ht="15.75" customHeight="1">
      <c r="B147" s="337" t="s">
        <v>768</v>
      </c>
      <c r="C147" s="339"/>
      <c r="D147" s="339">
        <v>4.5</v>
      </c>
    </row>
    <row r="148" ht="15.75" customHeight="1">
      <c r="B148" s="337"/>
      <c r="C148" s="339"/>
      <c r="D148" s="339"/>
    </row>
    <row r="149" ht="15.75" customHeight="1">
      <c r="B149" s="344" t="s">
        <v>698</v>
      </c>
      <c r="C149" s="350">
        <f>SUM(C142:C147)</f>
        <v>8492.5</v>
      </c>
      <c r="D149" s="350">
        <f>SUM(D142:D148)</f>
        <v>4766.2</v>
      </c>
    </row>
    <row r="150" ht="15.75" customHeight="1"/>
    <row r="151" ht="15.75" customHeight="1"/>
    <row r="152" ht="15.75" customHeight="1">
      <c r="B152" s="356" t="s">
        <v>457</v>
      </c>
      <c r="C152" s="363">
        <f>C149-D149</f>
        <v>3726.3</v>
      </c>
      <c r="D152" s="176"/>
    </row>
    <row r="153" ht="15.75" customHeight="1"/>
    <row r="154" ht="15.75" customHeight="1"/>
    <row r="155" ht="15.75" customHeight="1">
      <c r="B155" s="50" t="s">
        <v>790</v>
      </c>
    </row>
    <row r="156" ht="15.75" customHeight="1"/>
    <row r="157" ht="15.75" customHeight="1">
      <c r="B157" s="333" t="s">
        <v>249</v>
      </c>
      <c r="C157" s="333" t="s">
        <v>683</v>
      </c>
      <c r="D157" s="333" t="s">
        <v>684</v>
      </c>
    </row>
    <row r="158" ht="15.75" customHeight="1">
      <c r="B158" s="337" t="s">
        <v>685</v>
      </c>
      <c r="C158" s="339">
        <v>557.0</v>
      </c>
      <c r="D158" s="339"/>
    </row>
    <row r="159" ht="15.75" customHeight="1">
      <c r="B159" s="337" t="s">
        <v>687</v>
      </c>
      <c r="C159" s="339">
        <v>7634.0</v>
      </c>
      <c r="D159" s="339"/>
    </row>
    <row r="160" ht="15.75" customHeight="1">
      <c r="B160" s="337" t="s">
        <v>689</v>
      </c>
      <c r="C160" s="339">
        <v>3426.0</v>
      </c>
      <c r="D160" s="339"/>
    </row>
    <row r="161" ht="15.75" customHeight="1">
      <c r="B161" s="337" t="s">
        <v>791</v>
      </c>
      <c r="C161" s="339"/>
      <c r="D161" s="339">
        <v>2.0</v>
      </c>
    </row>
    <row r="162" ht="15.75" customHeight="1">
      <c r="B162" s="337"/>
      <c r="C162" s="339"/>
      <c r="D162" s="339"/>
    </row>
    <row r="163" ht="15.75" customHeight="1">
      <c r="B163" s="337"/>
      <c r="C163" s="339"/>
      <c r="D163" s="339"/>
    </row>
    <row r="164" ht="15.75" customHeight="1">
      <c r="B164" s="337"/>
      <c r="C164" s="339"/>
      <c r="D164" s="339"/>
    </row>
    <row r="165" ht="15.75" customHeight="1">
      <c r="B165" s="344" t="s">
        <v>698</v>
      </c>
      <c r="C165" s="350">
        <f>SUM(C158:C163)</f>
        <v>11617</v>
      </c>
      <c r="D165" s="350">
        <f>SUM(D158:D164)</f>
        <v>2</v>
      </c>
    </row>
    <row r="166" ht="15.75" customHeight="1"/>
    <row r="167" ht="15.75" customHeight="1"/>
    <row r="168" ht="15.75" customHeight="1">
      <c r="B168" s="356" t="s">
        <v>457</v>
      </c>
      <c r="C168" s="363">
        <f>C165-D165</f>
        <v>11615</v>
      </c>
      <c r="D168" s="176"/>
    </row>
    <row r="169" ht="15.75" customHeight="1"/>
    <row r="170" ht="15.75" customHeight="1"/>
    <row r="171" ht="15.75" customHeight="1">
      <c r="B171" s="50" t="s">
        <v>792</v>
      </c>
    </row>
    <row r="172" ht="15.75" customHeight="1"/>
    <row r="173" ht="15.75" customHeight="1">
      <c r="B173" s="333" t="s">
        <v>249</v>
      </c>
      <c r="C173" s="333" t="s">
        <v>683</v>
      </c>
      <c r="D173" s="333" t="s">
        <v>684</v>
      </c>
    </row>
    <row r="174" ht="15.75" customHeight="1">
      <c r="B174" s="337" t="s">
        <v>793</v>
      </c>
      <c r="C174" s="339">
        <v>1711.0</v>
      </c>
      <c r="D174" s="339"/>
    </row>
    <row r="175" ht="15.75" customHeight="1">
      <c r="B175" s="337" t="s">
        <v>794</v>
      </c>
      <c r="C175" s="339">
        <v>3000.0</v>
      </c>
      <c r="D175" s="339"/>
    </row>
    <row r="176" ht="15.75" customHeight="1">
      <c r="B176" s="337" t="s">
        <v>795</v>
      </c>
      <c r="C176" s="339"/>
      <c r="D176" s="339">
        <v>11.0</v>
      </c>
    </row>
    <row r="177" ht="15.75" customHeight="1">
      <c r="B177" s="337" t="s">
        <v>796</v>
      </c>
      <c r="C177" s="339"/>
      <c r="D177" s="339">
        <v>1200.0</v>
      </c>
      <c r="E177" s="50">
        <v>11.0</v>
      </c>
    </row>
    <row r="178" ht="15.75" customHeight="1">
      <c r="B178" s="337" t="s">
        <v>797</v>
      </c>
      <c r="C178" s="339"/>
      <c r="D178" s="339">
        <v>600.0</v>
      </c>
      <c r="E178" s="50">
        <v>1200.0</v>
      </c>
    </row>
    <row r="179" ht="15.75" customHeight="1">
      <c r="B179" s="337"/>
      <c r="C179" s="339"/>
      <c r="D179" s="339">
        <v>300.0</v>
      </c>
      <c r="E179" s="50">
        <v>600.0</v>
      </c>
    </row>
    <row r="180" ht="15.75" customHeight="1">
      <c r="B180" s="337"/>
      <c r="C180" s="339"/>
      <c r="D180" s="339">
        <v>550.0</v>
      </c>
      <c r="E180" s="50">
        <v>300.0</v>
      </c>
    </row>
    <row r="181" ht="15.75" customHeight="1">
      <c r="B181" s="337"/>
      <c r="C181" s="339"/>
      <c r="D181" s="339">
        <v>200.0</v>
      </c>
      <c r="E181" s="50">
        <v>550.0</v>
      </c>
    </row>
    <row r="182" ht="15.75" customHeight="1">
      <c r="B182" s="337" t="s">
        <v>798</v>
      </c>
      <c r="C182" s="339"/>
      <c r="D182" s="339">
        <v>1200.0</v>
      </c>
      <c r="E182" s="50">
        <v>1200.0</v>
      </c>
      <c r="G182" s="50">
        <v>3180.0</v>
      </c>
    </row>
    <row r="183" ht="15.75" customHeight="1">
      <c r="B183" s="337" t="s">
        <v>799</v>
      </c>
      <c r="C183" s="339"/>
      <c r="D183" s="339">
        <v>200.0</v>
      </c>
    </row>
    <row r="184" ht="15.75" customHeight="1">
      <c r="B184" s="337" t="s">
        <v>800</v>
      </c>
      <c r="C184" s="339"/>
      <c r="D184" s="339">
        <v>100.0</v>
      </c>
    </row>
    <row r="185" ht="15.75" customHeight="1">
      <c r="B185" s="337" t="s">
        <v>801</v>
      </c>
      <c r="C185" s="339"/>
      <c r="D185" s="339">
        <v>100.0</v>
      </c>
    </row>
    <row r="186" ht="15.75" customHeight="1">
      <c r="B186" s="337" t="s">
        <v>314</v>
      </c>
      <c r="C186" s="339"/>
      <c r="D186" s="339">
        <v>0.0</v>
      </c>
      <c r="G186" s="50">
        <v>115.08</v>
      </c>
    </row>
    <row r="187" ht="15.75" customHeight="1">
      <c r="B187" s="337" t="s">
        <v>802</v>
      </c>
      <c r="C187" s="339"/>
      <c r="D187" s="339">
        <v>5.0</v>
      </c>
    </row>
    <row r="188" ht="15.75" customHeight="1">
      <c r="B188" s="337" t="s">
        <v>797</v>
      </c>
      <c r="C188" s="339"/>
      <c r="D188" s="339">
        <v>100.0</v>
      </c>
    </row>
    <row r="189" ht="15.75" customHeight="1">
      <c r="B189" s="337" t="s">
        <v>803</v>
      </c>
      <c r="C189" s="339"/>
      <c r="D189" s="339">
        <v>5.5</v>
      </c>
    </row>
    <row r="190" ht="15.75" customHeight="1">
      <c r="B190" s="337" t="s">
        <v>804</v>
      </c>
      <c r="C190" s="339"/>
      <c r="D190" s="339">
        <v>5.0</v>
      </c>
    </row>
    <row r="191" ht="15.75" customHeight="1">
      <c r="B191" s="337" t="s">
        <v>805</v>
      </c>
      <c r="C191" s="339"/>
      <c r="D191" s="339">
        <v>30.0</v>
      </c>
      <c r="E191" s="50" t="s">
        <v>806</v>
      </c>
    </row>
    <row r="192" ht="15.75" customHeight="1">
      <c r="B192" s="337" t="s">
        <v>807</v>
      </c>
      <c r="C192" s="339"/>
      <c r="D192" s="339">
        <v>3.0</v>
      </c>
    </row>
    <row r="193" ht="15.75" customHeight="1">
      <c r="B193" s="337" t="s">
        <v>808</v>
      </c>
      <c r="C193" s="339"/>
      <c r="D193" s="339">
        <v>72.0</v>
      </c>
    </row>
    <row r="194" ht="15.75" customHeight="1">
      <c r="B194" s="337" t="s">
        <v>809</v>
      </c>
      <c r="C194" s="339"/>
      <c r="D194" s="339">
        <v>6.0</v>
      </c>
    </row>
    <row r="195" ht="15.75" customHeight="1">
      <c r="B195" s="337" t="s">
        <v>810</v>
      </c>
      <c r="C195" s="339"/>
      <c r="D195" s="339">
        <v>99.0</v>
      </c>
    </row>
    <row r="196" ht="15.75" customHeight="1">
      <c r="B196" s="337" t="s">
        <v>811</v>
      </c>
      <c r="C196" s="339"/>
      <c r="D196" s="339">
        <v>5.0</v>
      </c>
    </row>
    <row r="197" ht="15.75" customHeight="1">
      <c r="B197" s="337" t="s">
        <v>812</v>
      </c>
      <c r="C197" s="339"/>
      <c r="D197" s="339">
        <v>7.5</v>
      </c>
    </row>
    <row r="198" ht="15.0" customHeight="1">
      <c r="B198" s="344" t="s">
        <v>698</v>
      </c>
      <c r="C198" s="350">
        <f>SUM(C174:C179)</f>
        <v>4711</v>
      </c>
      <c r="D198" s="350">
        <f>SUM(D174:D197)</f>
        <v>4799</v>
      </c>
      <c r="E198" s="50">
        <v>200.0</v>
      </c>
    </row>
    <row r="199" ht="15.75" customHeight="1">
      <c r="E199" s="50">
        <f>SUM(E177:E198)</f>
        <v>4061</v>
      </c>
    </row>
    <row r="200" ht="15.75" customHeight="1"/>
    <row r="201" ht="15.75" customHeight="1">
      <c r="B201" s="356" t="s">
        <v>457</v>
      </c>
      <c r="C201" s="363">
        <f>C198-D198</f>
        <v>-88</v>
      </c>
      <c r="D201" s="176"/>
    </row>
    <row r="202" ht="15.75" customHeight="1"/>
    <row r="203" ht="15.75" customHeight="1">
      <c r="B203" s="50" t="s">
        <v>790</v>
      </c>
    </row>
    <row r="204" ht="15.75" customHeight="1"/>
    <row r="205" ht="15.75" customHeight="1">
      <c r="B205" s="333" t="s">
        <v>249</v>
      </c>
      <c r="C205" s="333" t="s">
        <v>683</v>
      </c>
      <c r="D205" s="333" t="s">
        <v>684</v>
      </c>
    </row>
    <row r="206" ht="15.75" customHeight="1">
      <c r="B206" s="337" t="s">
        <v>685</v>
      </c>
      <c r="C206" s="339">
        <v>1130.0</v>
      </c>
      <c r="D206" s="339"/>
    </row>
    <row r="207" ht="15.75" customHeight="1">
      <c r="B207" s="337" t="s">
        <v>687</v>
      </c>
      <c r="C207" s="339">
        <v>70.5</v>
      </c>
      <c r="D207" s="339"/>
    </row>
    <row r="208" ht="15.75" customHeight="1">
      <c r="B208" s="337" t="s">
        <v>689</v>
      </c>
      <c r="C208" s="339">
        <v>350.0</v>
      </c>
      <c r="D208" s="339"/>
    </row>
    <row r="209" ht="15.75" customHeight="1">
      <c r="B209" s="337"/>
      <c r="C209" s="339"/>
      <c r="D209" s="339"/>
    </row>
    <row r="210" ht="15.75" customHeight="1">
      <c r="B210" s="337"/>
      <c r="C210" s="339"/>
      <c r="D210" s="339"/>
    </row>
    <row r="211" ht="15.75" customHeight="1">
      <c r="B211" s="337"/>
      <c r="C211" s="339"/>
      <c r="D211" s="339"/>
    </row>
    <row r="212" ht="15.75" customHeight="1">
      <c r="B212" s="337"/>
      <c r="C212" s="339"/>
      <c r="D212" s="339"/>
    </row>
    <row r="213" ht="15.75" customHeight="1">
      <c r="B213" s="344" t="s">
        <v>698</v>
      </c>
      <c r="C213" s="350">
        <f>SUM(C206:C211)</f>
        <v>1550.5</v>
      </c>
      <c r="D213" s="350">
        <f>SUM(D206:D212)</f>
        <v>0</v>
      </c>
      <c r="E213" s="50" t="s">
        <v>813</v>
      </c>
    </row>
    <row r="214" ht="15.75" customHeight="1"/>
    <row r="215" ht="15.75" customHeight="1"/>
    <row r="216" ht="15.75" customHeight="1"/>
    <row r="217" ht="15.75" customHeight="1">
      <c r="B217" s="333" t="s">
        <v>249</v>
      </c>
      <c r="C217" s="333" t="s">
        <v>683</v>
      </c>
      <c r="D217" s="333" t="s">
        <v>684</v>
      </c>
    </row>
    <row r="218" ht="15.75" customHeight="1">
      <c r="B218" s="337" t="s">
        <v>685</v>
      </c>
      <c r="C218" s="339">
        <v>740.0</v>
      </c>
      <c r="D218" s="339"/>
    </row>
    <row r="219" ht="15.75" customHeight="1">
      <c r="B219" s="337" t="s">
        <v>687</v>
      </c>
      <c r="C219" s="339">
        <v>1206.9</v>
      </c>
      <c r="D219" s="339"/>
    </row>
    <row r="220" ht="15.75" customHeight="1">
      <c r="B220" s="337" t="s">
        <v>689</v>
      </c>
      <c r="C220" s="339">
        <v>0.0</v>
      </c>
      <c r="D220" s="339"/>
    </row>
    <row r="221" ht="15.75" customHeight="1">
      <c r="B221" s="337"/>
      <c r="C221" s="339"/>
      <c r="D221" s="339"/>
    </row>
    <row r="222" ht="15.75" customHeight="1">
      <c r="B222" s="337"/>
      <c r="C222" s="339"/>
      <c r="D222" s="339"/>
    </row>
    <row r="223" ht="15.75" customHeight="1">
      <c r="B223" s="337"/>
      <c r="C223" s="339"/>
      <c r="D223" s="339"/>
    </row>
    <row r="224" ht="15.75" customHeight="1">
      <c r="B224" s="337"/>
      <c r="C224" s="339"/>
      <c r="D224" s="339"/>
    </row>
    <row r="225" ht="15.75" customHeight="1">
      <c r="B225" s="344" t="s">
        <v>698</v>
      </c>
      <c r="C225" s="350">
        <f>SUM(C218:C223)</f>
        <v>1946.9</v>
      </c>
      <c r="D225" s="350">
        <f>SUM(D218:D224)</f>
        <v>0</v>
      </c>
      <c r="E225" s="50" t="s">
        <v>759</v>
      </c>
    </row>
    <row r="226" ht="15.75" customHeight="1"/>
    <row r="227" ht="15.75" customHeight="1"/>
    <row r="228" ht="15.75" customHeight="1"/>
    <row r="229" ht="15.75" customHeight="1">
      <c r="B229" s="333" t="s">
        <v>249</v>
      </c>
      <c r="C229" s="333" t="s">
        <v>683</v>
      </c>
      <c r="D229" s="333" t="s">
        <v>684</v>
      </c>
    </row>
    <row r="230" ht="15.75" customHeight="1">
      <c r="B230" s="337" t="s">
        <v>685</v>
      </c>
      <c r="C230" s="339">
        <v>470.0</v>
      </c>
      <c r="D230" s="339"/>
    </row>
    <row r="231" ht="15.75" customHeight="1">
      <c r="B231" s="337" t="s">
        <v>687</v>
      </c>
      <c r="C231" s="339">
        <v>210.2</v>
      </c>
      <c r="D231" s="339"/>
    </row>
    <row r="232" ht="15.75" customHeight="1">
      <c r="B232" s="337" t="s">
        <v>689</v>
      </c>
      <c r="C232" s="339">
        <v>890.0</v>
      </c>
      <c r="D232" s="339"/>
    </row>
    <row r="233" ht="15.75" customHeight="1">
      <c r="B233" s="337"/>
      <c r="C233" s="339"/>
      <c r="D233" s="339"/>
    </row>
    <row r="234" ht="15.75" customHeight="1">
      <c r="B234" s="337"/>
      <c r="C234" s="339"/>
      <c r="D234" s="339"/>
    </row>
    <row r="235" ht="15.75" customHeight="1">
      <c r="B235" s="337"/>
      <c r="C235" s="339"/>
      <c r="D235" s="339"/>
    </row>
    <row r="236" ht="15.75" customHeight="1">
      <c r="B236" s="337"/>
      <c r="C236" s="339"/>
      <c r="D236" s="339"/>
    </row>
    <row r="237" ht="15.75" customHeight="1">
      <c r="B237" s="344" t="s">
        <v>698</v>
      </c>
      <c r="C237" s="350">
        <f>SUM(C230:C235)</f>
        <v>1570.2</v>
      </c>
      <c r="D237" s="350">
        <f>SUM(D230:D236)</f>
        <v>0</v>
      </c>
    </row>
    <row r="238" ht="15.75" customHeight="1">
      <c r="C238" s="50">
        <v>7150.0</v>
      </c>
    </row>
    <row r="239" ht="15.75" customHeight="1">
      <c r="C239" s="378">
        <f>C237+C238</f>
        <v>8720.2</v>
      </c>
    </row>
    <row r="240" ht="15.75" customHeight="1">
      <c r="C240" s="50">
        <v>8742.32</v>
      </c>
    </row>
    <row r="241" ht="15.75" customHeight="1">
      <c r="C241" s="378">
        <f>C239-C240</f>
        <v>-22.12</v>
      </c>
    </row>
    <row r="242" ht="15.75" customHeight="1"/>
    <row r="243" ht="15.75" customHeight="1"/>
    <row r="244" ht="15.75" customHeight="1">
      <c r="B244" s="50" t="s">
        <v>814</v>
      </c>
    </row>
    <row r="245" ht="15.75" customHeight="1"/>
    <row r="246" ht="15.75" customHeight="1">
      <c r="B246" s="333" t="s">
        <v>249</v>
      </c>
      <c r="C246" s="333" t="s">
        <v>683</v>
      </c>
      <c r="D246" s="333" t="s">
        <v>684</v>
      </c>
    </row>
    <row r="247" ht="15.75" customHeight="1">
      <c r="B247" s="337" t="s">
        <v>685</v>
      </c>
      <c r="C247" s="339">
        <v>1950.0</v>
      </c>
      <c r="D247" s="339"/>
    </row>
    <row r="248" ht="15.75" customHeight="1">
      <c r="B248" s="337" t="s">
        <v>687</v>
      </c>
      <c r="C248" s="339">
        <v>2820.0</v>
      </c>
      <c r="D248" s="339"/>
    </row>
    <row r="249" ht="15.75" customHeight="1">
      <c r="B249" s="337" t="s">
        <v>689</v>
      </c>
      <c r="C249" s="339">
        <v>1020.0</v>
      </c>
      <c r="D249" s="339"/>
    </row>
    <row r="250" ht="15.75" customHeight="1">
      <c r="B250" s="337" t="s">
        <v>815</v>
      </c>
      <c r="C250" s="339"/>
      <c r="D250" s="339">
        <v>3.0</v>
      </c>
    </row>
    <row r="251" ht="15.75" customHeight="1">
      <c r="B251" s="337"/>
      <c r="C251" s="339"/>
      <c r="D251" s="339"/>
    </row>
    <row r="252" ht="15.75" customHeight="1">
      <c r="B252" s="337"/>
      <c r="C252" s="339"/>
      <c r="D252" s="339"/>
    </row>
    <row r="253" ht="15.75" customHeight="1">
      <c r="B253" s="337"/>
      <c r="C253" s="339"/>
      <c r="D253" s="339"/>
    </row>
    <row r="254" ht="15.75" customHeight="1">
      <c r="B254" s="344" t="s">
        <v>698</v>
      </c>
      <c r="C254" s="350">
        <f>SUM(C247:C252)</f>
        <v>5790</v>
      </c>
      <c r="D254" s="350">
        <f>SUM(D247:D253)</f>
        <v>3</v>
      </c>
    </row>
    <row r="255" ht="15.75" customHeight="1"/>
    <row r="256" ht="15.75" customHeight="1">
      <c r="B256" s="356" t="s">
        <v>457</v>
      </c>
      <c r="C256" s="363">
        <f>C254-D254</f>
        <v>5787</v>
      </c>
      <c r="D256" s="176"/>
    </row>
    <row r="257" ht="15.75" customHeight="1"/>
    <row r="258" ht="15.75" customHeight="1">
      <c r="C258" s="378"/>
    </row>
    <row r="259" ht="15.75" customHeight="1">
      <c r="B259" s="50" t="s">
        <v>816</v>
      </c>
    </row>
    <row r="260" ht="15.75" customHeight="1"/>
    <row r="261" ht="15.75" customHeight="1">
      <c r="B261" s="333" t="s">
        <v>249</v>
      </c>
      <c r="C261" s="333" t="s">
        <v>683</v>
      </c>
      <c r="D261" s="333" t="s">
        <v>684</v>
      </c>
    </row>
    <row r="262" ht="15.75" customHeight="1">
      <c r="B262" s="337" t="s">
        <v>685</v>
      </c>
      <c r="C262" s="339">
        <v>1334.0</v>
      </c>
      <c r="D262" s="339"/>
    </row>
    <row r="263" ht="15.75" customHeight="1">
      <c r="B263" s="337" t="s">
        <v>687</v>
      </c>
      <c r="C263" s="339">
        <v>1081.0</v>
      </c>
      <c r="D263" s="339"/>
    </row>
    <row r="264" ht="15.75" customHeight="1">
      <c r="B264" s="337" t="s">
        <v>689</v>
      </c>
      <c r="C264" s="339">
        <v>2370.0</v>
      </c>
      <c r="D264" s="339"/>
    </row>
    <row r="265" ht="15.75" customHeight="1">
      <c r="B265" s="337" t="s">
        <v>768</v>
      </c>
      <c r="C265" s="339"/>
      <c r="D265" s="339">
        <v>4.5</v>
      </c>
    </row>
    <row r="266" ht="15.75" customHeight="1">
      <c r="B266" s="337" t="s">
        <v>817</v>
      </c>
      <c r="C266" s="339"/>
      <c r="D266" s="339">
        <v>3.0</v>
      </c>
    </row>
    <row r="267" ht="15.75" customHeight="1">
      <c r="B267" s="337" t="s">
        <v>818</v>
      </c>
      <c r="C267" s="339"/>
      <c r="D267" s="339">
        <v>15.0</v>
      </c>
    </row>
    <row r="268" ht="15.75" customHeight="1">
      <c r="B268" s="337" t="s">
        <v>819</v>
      </c>
      <c r="C268" s="339"/>
      <c r="D268" s="339">
        <v>700.0</v>
      </c>
    </row>
    <row r="269" ht="15.75" customHeight="1">
      <c r="B269" s="337"/>
      <c r="C269" s="339"/>
      <c r="D269" s="339"/>
    </row>
    <row r="270" ht="15.75" customHeight="1">
      <c r="B270" s="337"/>
      <c r="C270" s="339"/>
      <c r="D270" s="339"/>
    </row>
    <row r="271" ht="15.75" customHeight="1">
      <c r="B271" s="337"/>
      <c r="C271" s="339"/>
      <c r="D271" s="339"/>
    </row>
    <row r="272" ht="15.75" customHeight="1">
      <c r="B272" s="337"/>
      <c r="C272" s="339"/>
      <c r="D272" s="339"/>
    </row>
    <row r="273" ht="15.75" customHeight="1">
      <c r="B273" s="344" t="s">
        <v>698</v>
      </c>
      <c r="C273" s="350">
        <f>SUM(C262:C267)</f>
        <v>4785</v>
      </c>
      <c r="D273" s="350">
        <f>SUM(D262:D268)</f>
        <v>722.5</v>
      </c>
    </row>
    <row r="274" ht="15.75" customHeight="1"/>
    <row r="275" ht="15.75" customHeight="1">
      <c r="B275" s="356" t="s">
        <v>457</v>
      </c>
      <c r="C275" s="363">
        <f>C273-D273</f>
        <v>4062.5</v>
      </c>
      <c r="D275" s="176"/>
    </row>
    <row r="276" ht="15.75" customHeight="1"/>
    <row r="277" ht="15.75" customHeight="1"/>
    <row r="278" ht="15.75" customHeight="1"/>
    <row r="279" ht="15.75" customHeight="1">
      <c r="B279" s="50" t="s">
        <v>820</v>
      </c>
    </row>
    <row r="280" ht="15.75" customHeight="1"/>
    <row r="281" ht="15.75" customHeight="1">
      <c r="B281" s="333" t="s">
        <v>249</v>
      </c>
      <c r="C281" s="333" t="s">
        <v>683</v>
      </c>
      <c r="D281" s="333" t="s">
        <v>684</v>
      </c>
    </row>
    <row r="282" ht="15.75" customHeight="1">
      <c r="B282" s="337" t="s">
        <v>685</v>
      </c>
      <c r="C282" s="339">
        <v>2820.0</v>
      </c>
      <c r="D282" s="339"/>
    </row>
    <row r="283" ht="15.75" customHeight="1">
      <c r="B283" s="337" t="s">
        <v>687</v>
      </c>
      <c r="C283" s="339">
        <v>3120.0</v>
      </c>
      <c r="D283" s="339"/>
    </row>
    <row r="284" ht="15.75" customHeight="1">
      <c r="B284" s="337" t="s">
        <v>689</v>
      </c>
      <c r="C284" s="339">
        <v>2020.0</v>
      </c>
      <c r="D284" s="339"/>
    </row>
    <row r="285" ht="15.75" customHeight="1">
      <c r="B285" s="337" t="s">
        <v>768</v>
      </c>
      <c r="C285" s="339"/>
      <c r="D285" s="339">
        <v>5.0</v>
      </c>
    </row>
    <row r="286" ht="15.75" customHeight="1">
      <c r="B286" s="337" t="s">
        <v>821</v>
      </c>
      <c r="C286" s="339"/>
      <c r="D286" s="339">
        <v>6.0</v>
      </c>
      <c r="E286" s="50" t="s">
        <v>822</v>
      </c>
      <c r="F286" s="10" t="s">
        <v>247</v>
      </c>
      <c r="G286" s="10" t="s">
        <v>823</v>
      </c>
      <c r="H286" s="10" t="s">
        <v>16</v>
      </c>
    </row>
    <row r="287" ht="15.75" customHeight="1">
      <c r="B287" s="337" t="s">
        <v>824</v>
      </c>
      <c r="C287" s="339"/>
      <c r="D287" s="339">
        <v>5.0</v>
      </c>
      <c r="E287" s="50" t="s">
        <v>822</v>
      </c>
      <c r="F287" s="20">
        <v>44385.0</v>
      </c>
      <c r="G287" s="50" t="s">
        <v>825</v>
      </c>
      <c r="H287" s="378">
        <v>1000.0</v>
      </c>
    </row>
    <row r="288" ht="15.75" customHeight="1">
      <c r="B288" s="337" t="s">
        <v>826</v>
      </c>
      <c r="C288" s="339"/>
      <c r="D288" s="339">
        <v>1427.0</v>
      </c>
      <c r="E288" s="50" t="s">
        <v>822</v>
      </c>
      <c r="F288" s="20">
        <v>44385.0</v>
      </c>
      <c r="G288" s="50" t="s">
        <v>825</v>
      </c>
      <c r="H288" s="378">
        <v>761.0</v>
      </c>
    </row>
    <row r="289" ht="15.75" customHeight="1">
      <c r="B289" s="337" t="s">
        <v>827</v>
      </c>
      <c r="C289" s="339"/>
      <c r="D289" s="339">
        <v>115.0</v>
      </c>
      <c r="E289" s="378" t="s">
        <v>822</v>
      </c>
      <c r="F289" s="20">
        <v>44385.0</v>
      </c>
      <c r="G289" s="50" t="s">
        <v>825</v>
      </c>
      <c r="H289" s="378">
        <v>400.0</v>
      </c>
    </row>
    <row r="290" ht="15.75" customHeight="1">
      <c r="B290" s="337" t="s">
        <v>827</v>
      </c>
      <c r="C290" s="339"/>
      <c r="D290" s="339">
        <v>82.0</v>
      </c>
      <c r="E290" s="50" t="s">
        <v>822</v>
      </c>
      <c r="F290" s="20">
        <v>44382.0</v>
      </c>
      <c r="G290" s="50" t="s">
        <v>828</v>
      </c>
      <c r="H290" s="378">
        <v>700.0</v>
      </c>
    </row>
    <row r="291" ht="15.75" customHeight="1">
      <c r="B291" s="337"/>
      <c r="C291" s="339"/>
      <c r="D291" s="339"/>
      <c r="F291" s="20"/>
      <c r="G291" s="399" t="s">
        <v>829</v>
      </c>
      <c r="H291" s="400">
        <f>SUM(H287:H290)</f>
        <v>2861</v>
      </c>
    </row>
    <row r="292" ht="15.75" customHeight="1">
      <c r="B292" s="337"/>
      <c r="C292" s="339"/>
      <c r="D292" s="339"/>
    </row>
    <row r="293" ht="15.75" customHeight="1">
      <c r="B293" s="337"/>
      <c r="C293" s="339"/>
      <c r="D293" s="339"/>
    </row>
    <row r="294" ht="15.75" customHeight="1">
      <c r="B294" s="337"/>
      <c r="C294" s="339"/>
      <c r="D294" s="339"/>
    </row>
    <row r="295" ht="15.75" customHeight="1">
      <c r="B295" s="344" t="s">
        <v>698</v>
      </c>
      <c r="C295" s="350">
        <f>SUM(C282:C289)</f>
        <v>7960</v>
      </c>
      <c r="D295" s="350">
        <f>SUM(D282:D290)</f>
        <v>1640</v>
      </c>
    </row>
    <row r="296" ht="15.75" customHeight="1"/>
    <row r="297" ht="15.75" customHeight="1">
      <c r="B297" s="356" t="s">
        <v>457</v>
      </c>
      <c r="C297" s="363">
        <f>C295-D295</f>
        <v>6320</v>
      </c>
      <c r="D297" s="176"/>
      <c r="E297" s="50" t="s">
        <v>830</v>
      </c>
    </row>
    <row r="298" ht="15.75" customHeight="1">
      <c r="C298" s="50">
        <v>8933.0</v>
      </c>
    </row>
    <row r="299" ht="15.75" customHeight="1">
      <c r="C299" s="378">
        <f>C298-C297</f>
        <v>2613</v>
      </c>
    </row>
    <row r="300" ht="15.75" customHeight="1"/>
    <row r="301" ht="15.75" customHeight="1">
      <c r="B301" s="50" t="s">
        <v>831</v>
      </c>
    </row>
    <row r="302" ht="15.75" customHeight="1"/>
    <row r="303" ht="15.75" customHeight="1">
      <c r="B303" s="333" t="s">
        <v>249</v>
      </c>
      <c r="C303" s="333" t="s">
        <v>683</v>
      </c>
      <c r="D303" s="333" t="s">
        <v>684</v>
      </c>
    </row>
    <row r="304" ht="15.75" customHeight="1">
      <c r="B304" s="337" t="s">
        <v>832</v>
      </c>
      <c r="C304" s="339">
        <v>1000.0</v>
      </c>
      <c r="D304" s="339"/>
    </row>
    <row r="305" ht="15.75" customHeight="1">
      <c r="B305" s="337" t="s">
        <v>833</v>
      </c>
      <c r="C305" s="339"/>
      <c r="D305" s="339">
        <v>1000.0</v>
      </c>
      <c r="E305" s="50" t="s">
        <v>834</v>
      </c>
    </row>
    <row r="306" ht="15.75" customHeight="1">
      <c r="B306" s="337"/>
      <c r="C306" s="339"/>
      <c r="D306" s="339"/>
    </row>
    <row r="307" ht="15.75" customHeight="1">
      <c r="B307" s="337"/>
      <c r="C307" s="339"/>
      <c r="D307" s="339"/>
    </row>
    <row r="308" ht="15.75" customHeight="1">
      <c r="B308" s="344" t="s">
        <v>698</v>
      </c>
      <c r="C308" s="350">
        <f t="shared" ref="C308:D308" si="1">SUM(C304:C305)</f>
        <v>1000</v>
      </c>
      <c r="D308" s="350">
        <f t="shared" si="1"/>
        <v>1000</v>
      </c>
    </row>
    <row r="309" ht="15.75" customHeight="1"/>
    <row r="310" ht="15.75" customHeight="1">
      <c r="B310" s="356" t="s">
        <v>457</v>
      </c>
      <c r="C310" s="363">
        <f>C308-D308</f>
        <v>0</v>
      </c>
      <c r="D310" s="176"/>
    </row>
    <row r="311" ht="15.75" customHeight="1"/>
    <row r="312" ht="15.75" customHeight="1">
      <c r="B312" s="50" t="s">
        <v>820</v>
      </c>
    </row>
    <row r="313" ht="15.75" customHeight="1"/>
    <row r="314" ht="15.75" customHeight="1">
      <c r="B314" s="333" t="s">
        <v>249</v>
      </c>
      <c r="C314" s="333" t="s">
        <v>683</v>
      </c>
      <c r="D314" s="333" t="s">
        <v>684</v>
      </c>
    </row>
    <row r="315" ht="15.75" customHeight="1">
      <c r="B315" s="337" t="s">
        <v>685</v>
      </c>
      <c r="C315" s="339">
        <v>1104.0</v>
      </c>
      <c r="D315" s="339"/>
    </row>
    <row r="316" ht="15.75" customHeight="1">
      <c r="B316" s="337" t="s">
        <v>687</v>
      </c>
      <c r="C316" s="339">
        <v>0.0</v>
      </c>
      <c r="D316" s="339"/>
    </row>
    <row r="317" ht="15.75" customHeight="1">
      <c r="B317" s="337" t="s">
        <v>689</v>
      </c>
      <c r="C317" s="339">
        <v>466.0</v>
      </c>
      <c r="D317" s="339"/>
    </row>
    <row r="318" ht="15.75" customHeight="1">
      <c r="B318" s="337"/>
      <c r="C318" s="339"/>
      <c r="D318" s="339"/>
    </row>
    <row r="319" ht="15.75" customHeight="1">
      <c r="B319" s="337"/>
      <c r="C319" s="339"/>
      <c r="D319" s="339"/>
    </row>
    <row r="320" ht="15.75" customHeight="1">
      <c r="B320" s="337"/>
      <c r="C320" s="339"/>
      <c r="D320" s="339"/>
    </row>
    <row r="321" ht="15.75" customHeight="1">
      <c r="B321" s="337"/>
      <c r="C321" s="339"/>
      <c r="D321" s="339"/>
      <c r="E321" s="378">
        <f>C297+C325</f>
        <v>7890</v>
      </c>
    </row>
    <row r="322" ht="15.75" customHeight="1">
      <c r="B322" s="337"/>
      <c r="C322" s="339"/>
      <c r="D322" s="339"/>
      <c r="E322" s="50">
        <v>8933.0</v>
      </c>
    </row>
    <row r="323" ht="15.75" customHeight="1">
      <c r="B323" s="344" t="s">
        <v>698</v>
      </c>
      <c r="C323" s="350">
        <f>SUM(C315:C317)</f>
        <v>1570</v>
      </c>
      <c r="D323" s="350">
        <f>SUM(D315:D318)</f>
        <v>0</v>
      </c>
      <c r="E323" s="378">
        <f>E322-E321</f>
        <v>1043</v>
      </c>
    </row>
    <row r="324" ht="15.75" customHeight="1"/>
    <row r="325" ht="15.75" customHeight="1">
      <c r="B325" s="356" t="s">
        <v>457</v>
      </c>
      <c r="C325" s="363">
        <f>C323-D323</f>
        <v>1570</v>
      </c>
      <c r="D325" s="176"/>
      <c r="E325" s="50" t="s">
        <v>830</v>
      </c>
    </row>
    <row r="326" ht="15.75" customHeight="1"/>
    <row r="327" ht="15.75" customHeight="1">
      <c r="B327" s="50" t="s">
        <v>820</v>
      </c>
    </row>
    <row r="328" ht="15.75" customHeight="1"/>
    <row r="329" ht="15.75" customHeight="1">
      <c r="B329" s="333" t="s">
        <v>249</v>
      </c>
      <c r="C329" s="333" t="s">
        <v>683</v>
      </c>
      <c r="D329" s="333" t="s">
        <v>684</v>
      </c>
    </row>
    <row r="330" ht="15.75" customHeight="1">
      <c r="B330" s="337" t="s">
        <v>685</v>
      </c>
      <c r="C330" s="339">
        <v>0.0</v>
      </c>
      <c r="D330" s="339"/>
    </row>
    <row r="331" ht="15.75" customHeight="1">
      <c r="B331" s="337" t="s">
        <v>687</v>
      </c>
      <c r="C331" s="339">
        <v>1820.0</v>
      </c>
      <c r="D331" s="339"/>
    </row>
    <row r="332" ht="15.75" customHeight="1">
      <c r="B332" s="337" t="s">
        <v>689</v>
      </c>
      <c r="C332" s="339">
        <v>0.0</v>
      </c>
      <c r="D332" s="339"/>
    </row>
    <row r="333" ht="15.75" customHeight="1">
      <c r="B333" s="337" t="s">
        <v>835</v>
      </c>
      <c r="C333" s="339"/>
      <c r="D333" s="339">
        <v>761.0</v>
      </c>
      <c r="E333" s="50" t="s">
        <v>836</v>
      </c>
    </row>
    <row r="334" ht="15.75" customHeight="1">
      <c r="B334" s="337" t="s">
        <v>837</v>
      </c>
      <c r="C334" s="339"/>
      <c r="D334" s="339">
        <v>400.0</v>
      </c>
      <c r="E334" s="50" t="s">
        <v>836</v>
      </c>
    </row>
    <row r="335" ht="15.75" customHeight="1">
      <c r="B335" s="337" t="s">
        <v>838</v>
      </c>
      <c r="C335" s="339"/>
      <c r="D335" s="339">
        <v>10.0</v>
      </c>
    </row>
    <row r="336" ht="15.75" customHeight="1">
      <c r="B336" s="337"/>
      <c r="C336" s="339"/>
      <c r="D336" s="339"/>
    </row>
    <row r="337" ht="15.75" customHeight="1">
      <c r="B337" s="337"/>
      <c r="C337" s="339"/>
      <c r="D337" s="339"/>
    </row>
    <row r="338" ht="15.75" customHeight="1">
      <c r="B338" s="344" t="s">
        <v>698</v>
      </c>
      <c r="C338" s="350">
        <f>SUM(C330:C334)</f>
        <v>1820</v>
      </c>
      <c r="D338" s="350">
        <f>SUM(D330:D333)</f>
        <v>761</v>
      </c>
    </row>
    <row r="339" ht="15.75" customHeight="1"/>
    <row r="340" ht="15.75" customHeight="1">
      <c r="B340" s="356" t="s">
        <v>457</v>
      </c>
      <c r="C340" s="363">
        <f>C338-D338</f>
        <v>1059</v>
      </c>
      <c r="D340" s="176"/>
    </row>
    <row r="341" ht="15.75" customHeight="1"/>
    <row r="342" ht="15.75" customHeight="1"/>
    <row r="343" ht="15.75" customHeight="1">
      <c r="B343" s="50" t="s">
        <v>831</v>
      </c>
    </row>
    <row r="344" ht="15.75" customHeight="1"/>
    <row r="345" ht="15.75" customHeight="1">
      <c r="B345" s="333" t="s">
        <v>249</v>
      </c>
      <c r="C345" s="333" t="s">
        <v>683</v>
      </c>
      <c r="D345" s="333" t="s">
        <v>684</v>
      </c>
    </row>
    <row r="346" ht="15.75" customHeight="1">
      <c r="B346" s="337" t="s">
        <v>832</v>
      </c>
      <c r="C346" s="339">
        <v>400.0</v>
      </c>
      <c r="D346" s="339"/>
      <c r="E346" s="50" t="s">
        <v>836</v>
      </c>
    </row>
    <row r="347" ht="15.75" customHeight="1">
      <c r="B347" s="337"/>
      <c r="C347" s="339"/>
      <c r="D347" s="339"/>
    </row>
    <row r="348" ht="15.75" customHeight="1">
      <c r="B348" s="337"/>
      <c r="C348" s="339"/>
      <c r="D348" s="339"/>
    </row>
    <row r="349" ht="15.75" customHeight="1">
      <c r="B349" s="337"/>
      <c r="C349" s="339"/>
      <c r="D349" s="339"/>
    </row>
    <row r="350" ht="15.75" customHeight="1">
      <c r="B350" s="344" t="s">
        <v>698</v>
      </c>
      <c r="C350" s="350">
        <f t="shared" ref="C350:D350" si="2">SUM(C346:C347)</f>
        <v>400</v>
      </c>
      <c r="D350" s="350">
        <f t="shared" si="2"/>
        <v>0</v>
      </c>
    </row>
    <row r="351" ht="15.75" customHeight="1"/>
    <row r="352" ht="15.75" customHeight="1">
      <c r="B352" s="356" t="s">
        <v>457</v>
      </c>
      <c r="C352" s="363">
        <f>C350-D350</f>
        <v>400</v>
      </c>
      <c r="D352" s="176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17:D17"/>
    <mergeCell ref="C59:D59"/>
    <mergeCell ref="C77:D77"/>
    <mergeCell ref="C96:D96"/>
    <mergeCell ref="C116:D116"/>
    <mergeCell ref="C136:D136"/>
    <mergeCell ref="C152:D152"/>
    <mergeCell ref="C340:D340"/>
    <mergeCell ref="C352:D352"/>
    <mergeCell ref="C168:D168"/>
    <mergeCell ref="C201:D201"/>
    <mergeCell ref="C256:D256"/>
    <mergeCell ref="C275:D275"/>
    <mergeCell ref="C297:D297"/>
    <mergeCell ref="C310:D310"/>
    <mergeCell ref="C325:D325"/>
  </mergeCells>
  <printOptions/>
  <pageMargins bottom="0.75" footer="0.0" header="0.0" left="0.25" right="0.25" top="0.75"/>
  <pageSetup orientation="portrait"/>
  <drawing r:id="rId1"/>
</worksheet>
</file>